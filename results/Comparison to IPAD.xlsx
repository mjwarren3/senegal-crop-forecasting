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j\OneDrive\Desktop\smart-ag\yield-prediction-project\results\"/>
    </mc:Choice>
  </mc:AlternateContent>
  <xr:revisionPtr revIDLastSave="0" documentId="13_ncr:1_{55D0BA09-77E9-4277-9A05-4292DEFE124A}" xr6:coauthVersionLast="47" xr6:coauthVersionMax="47" xr10:uidLastSave="{00000000-0000-0000-0000-000000000000}"/>
  <bookViews>
    <workbookView xWindow="-110" yWindow="-110" windowWidth="19420" windowHeight="10420" activeTab="1" xr2:uid="{272E6F4A-B43C-4CBF-803B-90F395D43FF9}"/>
  </bookViews>
  <sheets>
    <sheet name="all_results-2024-08-15_08-59-51" sheetId="1" r:id="rId1"/>
    <sheet name="Sheet1" sheetId="2" r:id="rId2"/>
  </sheets>
  <definedNames>
    <definedName name="_xlnm._FilterDatabase" localSheetId="0" hidden="1">'all_results-2024-08-15_08-59-51'!$A$1:$L$421</definedName>
    <definedName name="_xlnm._FilterDatabase" localSheetId="1" hidden="1">Sheet1!$B$14:$I$14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" l="1"/>
  <c r="H32" i="2"/>
  <c r="H31" i="2"/>
  <c r="H30" i="2"/>
  <c r="H29" i="2"/>
  <c r="G30" i="2"/>
  <c r="I30" i="2" s="1"/>
  <c r="I33" i="2"/>
  <c r="I32" i="2"/>
  <c r="I31" i="2"/>
  <c r="I29" i="2"/>
  <c r="H21" i="2"/>
  <c r="H11" i="2"/>
  <c r="I20" i="2"/>
  <c r="H20" i="2"/>
  <c r="I10" i="2"/>
  <c r="H10" i="2"/>
  <c r="G16" i="2" l="1"/>
  <c r="I16" i="2" s="1"/>
  <c r="I15" i="2"/>
  <c r="H15" i="2"/>
  <c r="I19" i="2"/>
  <c r="H19" i="2"/>
  <c r="I17" i="2"/>
  <c r="H17" i="2"/>
  <c r="I18" i="2"/>
  <c r="H18" i="2"/>
  <c r="H16" i="2"/>
  <c r="I5" i="2"/>
  <c r="H5" i="2"/>
  <c r="I9" i="2"/>
  <c r="H9" i="2"/>
  <c r="I7" i="2"/>
  <c r="H7" i="2"/>
  <c r="I8" i="2"/>
  <c r="H8" i="2"/>
  <c r="H6" i="2"/>
  <c r="G6" i="2"/>
  <c r="I6" i="2" s="1"/>
</calcChain>
</file>

<file path=xl/sharedStrings.xml><?xml version="1.0" encoding="utf-8"?>
<sst xmlns="http://schemas.openxmlformats.org/spreadsheetml/2006/main" count="1733" uniqueCount="31">
  <si>
    <t>Crop</t>
  </si>
  <si>
    <t>Year</t>
  </si>
  <si>
    <t>Month</t>
  </si>
  <si>
    <t>Model</t>
  </si>
  <si>
    <t>Features</t>
  </si>
  <si>
    <t>Parameters</t>
  </si>
  <si>
    <t>Predicted Production</t>
  </si>
  <si>
    <t>Actual Production</t>
  </si>
  <si>
    <t>Error</t>
  </si>
  <si>
    <t>% Error</t>
  </si>
  <si>
    <t>Abs_Error</t>
  </si>
  <si>
    <t>Abs_Pct_Error</t>
  </si>
  <si>
    <t>Rice</t>
  </si>
  <si>
    <t>lr</t>
  </si>
  <si>
    <t>['_Weighted_Rainfall', '_Weighted_VHI', '_Weighted_VHI_Cumulative']</t>
  </si>
  <si>
    <t>{'training_data_years': 20, 'differencing': 1, 'ma': 0}</t>
  </si>
  <si>
    <t>Corn</t>
  </si>
  <si>
    <t>Millet</t>
  </si>
  <si>
    <t>Sorghum</t>
  </si>
  <si>
    <t>Peanut</t>
  </si>
  <si>
    <t>Pred Month</t>
  </si>
  <si>
    <t>Actual</t>
  </si>
  <si>
    <t>Their Pred</t>
  </si>
  <si>
    <t>Our Error %</t>
  </si>
  <si>
    <t>Their Error %</t>
  </si>
  <si>
    <t>IPAD Forecast</t>
  </si>
  <si>
    <t>UGB</t>
  </si>
  <si>
    <t>IPAD</t>
  </si>
  <si>
    <t>UGB Forecast</t>
  </si>
  <si>
    <t>Diff %</t>
  </si>
  <si>
    <t>Roux / UGB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</si>
</sst>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,&quot;k&quot;"/>
    <numFmt numFmtId="172" formatCode="0.00,,&quot;M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9" fontId="0" fillId="0" borderId="0" xfId="2" applyFont="1"/>
    <xf numFmtId="2" fontId="0" fillId="0" borderId="0" xfId="0" applyNumberFormat="1"/>
    <xf numFmtId="164" fontId="0" fillId="0" borderId="0" xfId="2" applyNumberFormat="1" applyFont="1"/>
    <xf numFmtId="165" fontId="0" fillId="0" borderId="0" xfId="1" applyNumberFormat="1" applyFont="1"/>
    <xf numFmtId="0" fontId="16" fillId="0" borderId="0" xfId="0" applyFont="1"/>
    <xf numFmtId="166" fontId="0" fillId="0" borderId="0" xfId="1" applyNumberFormat="1" applyFont="1"/>
    <xf numFmtId="166" fontId="16" fillId="0" borderId="0" xfId="0" applyNumberFormat="1" applyFont="1"/>
    <xf numFmtId="164" fontId="16" fillId="0" borderId="0" xfId="2" applyNumberFormat="1" applyFont="1"/>
    <xf numFmtId="172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20963172804532576"/>
          <c:w val="0.65453499562554684"/>
          <c:h val="0.6436644286319733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Sheet1!$E$4</c:f>
              <c:strCache>
                <c:ptCount val="1"/>
                <c:pt idx="0">
                  <c:v>Actual Production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Sheet1!$E$5:$E$9</c:f>
              <c:numCache>
                <c:formatCode>0,"k"</c:formatCode>
                <c:ptCount val="5"/>
                <c:pt idx="0">
                  <c:v>1501498</c:v>
                </c:pt>
                <c:pt idx="1">
                  <c:v>1409120</c:v>
                </c:pt>
                <c:pt idx="2">
                  <c:v>1097033</c:v>
                </c:pt>
                <c:pt idx="3">
                  <c:v>787750</c:v>
                </c:pt>
                <c:pt idx="4">
                  <c:v>363164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42-408B-9D83-F13F06EA9A6F}"/>
            </c:ext>
          </c:extLst>
        </c:ser>
        <c:ser>
          <c:idx val="4"/>
          <c:order val="4"/>
          <c:tx>
            <c:strRef>
              <c:f>Sheet1!$G$4</c:f>
              <c:strCache>
                <c:ptCount val="1"/>
                <c:pt idx="0">
                  <c:v>IPAD Forecast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Sheet1!$G$5:$G$9</c:f>
              <c:numCache>
                <c:formatCode>0,"k"</c:formatCode>
                <c:ptCount val="5"/>
                <c:pt idx="0">
                  <c:v>1700000</c:v>
                </c:pt>
                <c:pt idx="1">
                  <c:v>1370588.2352941176</c:v>
                </c:pt>
                <c:pt idx="2">
                  <c:v>1000000</c:v>
                </c:pt>
                <c:pt idx="3">
                  <c:v>500000</c:v>
                </c:pt>
                <c:pt idx="4">
                  <c:v>270000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42-408B-9D83-F13F06EA9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125760"/>
        <c:axId val="1637126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Sheet1!$C$5:$C$9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2022</c:v>
                      </c:pt>
                      <c:pt idx="1">
                        <c:v>2022</c:v>
                      </c:pt>
                      <c:pt idx="2">
                        <c:v>2022</c:v>
                      </c:pt>
                      <c:pt idx="3">
                        <c:v>2022</c:v>
                      </c:pt>
                      <c:pt idx="4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842-408B-9D83-F13F06EA9A6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Sheet1!$D$4</c15:sqref>
                        </c15:formulaRef>
                      </c:ext>
                    </c:extLst>
                    <c:strCache>
                      <c:ptCount val="1"/>
                      <c:pt idx="0">
                        <c:v>Pred Month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</c:v>
                      </c:pt>
                      <c:pt idx="1">
                        <c:v>9</c:v>
                      </c:pt>
                      <c:pt idx="2">
                        <c:v>9</c:v>
                      </c:pt>
                      <c:pt idx="3">
                        <c:v>9</c:v>
                      </c:pt>
                      <c:pt idx="4">
                        <c:v>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842-408B-9D83-F13F06EA9A6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Sheet1!$F$4</c15:sqref>
                        </c15:formulaRef>
                      </c:ext>
                    </c:extLst>
                    <c:strCache>
                      <c:ptCount val="1"/>
                      <c:pt idx="0">
                        <c:v>UGB Forecast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Sheet1!$F$5:$F$9</c15:sqref>
                        </c15:formulaRef>
                      </c:ext>
                    </c:extLst>
                    <c:numCache>
                      <c:formatCode>0,"k"</c:formatCode>
                      <c:ptCount val="5"/>
                      <c:pt idx="0">
                        <c:v>1806029.2954766101</c:v>
                      </c:pt>
                      <c:pt idx="1">
                        <c:v>1441997.1873594299</c:v>
                      </c:pt>
                      <c:pt idx="2">
                        <c:v>1019687.01480499</c:v>
                      </c:pt>
                      <c:pt idx="3">
                        <c:v>786089.37377156096</c:v>
                      </c:pt>
                      <c:pt idx="4">
                        <c:v>355220.56690548401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42-408B-9D83-F13F06EA9A6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Sheet1!$H$4</c15:sqref>
                        </c15:formulaRef>
                      </c:ext>
                    </c:extLst>
                    <c:strCache>
                      <c:ptCount val="1"/>
                      <c:pt idx="0">
                        <c:v>Our Error 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Sheet1!$H$5:$H$9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0.20281831575973466</c:v>
                      </c:pt>
                      <c:pt idx="1">
                        <c:v>2.3331715793849989E-2</c:v>
                      </c:pt>
                      <c:pt idx="2">
                        <c:v>7.0504702406408895E-2</c:v>
                      </c:pt>
                      <c:pt idx="3">
                        <c:v>2.1080624924646645E-3</c:v>
                      </c:pt>
                      <c:pt idx="4">
                        <c:v>2.1872853847066311E-2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42-408B-9D83-F13F06EA9A6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</c15:sqref>
                        </c15:formulaRef>
                      </c:ext>
                    </c:extLst>
                    <c:strCache>
                      <c:ptCount val="1"/>
                      <c:pt idx="0">
                        <c:v>Their Error %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Sheet1!$I$5:$I$9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0.13220264029655718</c:v>
                      </c:pt>
                      <c:pt idx="1">
                        <c:v>2.7344558806831502E-2</c:v>
                      </c:pt>
                      <c:pt idx="2">
                        <c:v>8.8450393014613049E-2</c:v>
                      </c:pt>
                      <c:pt idx="3">
                        <c:v>0.365280863218026</c:v>
                      </c:pt>
                      <c:pt idx="4">
                        <c:v>0.2565342379751297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42-408B-9D83-F13F06EA9A6F}"/>
                  </c:ext>
                </c:extLst>
              </c15:ser>
            </c15:filteredBarSeries>
          </c:ext>
        </c:extLst>
      </c:barChart>
      <c:catAx>
        <c:axId val="163712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26720"/>
        <c:crosses val="autoZero"/>
        <c:auto val="1"/>
        <c:lblAlgn val="ctr"/>
        <c:lblOffset val="100"/>
        <c:noMultiLvlLbl val="0"/>
      </c:catAx>
      <c:valAx>
        <c:axId val="1637126720"/>
        <c:scaling>
          <c:orientation val="minMax"/>
        </c:scaling>
        <c:delete val="1"/>
        <c:axPos val="l"/>
        <c:numFmt formatCode="0,&quot;k&quot;" sourceLinked="1"/>
        <c:majorTickMark val="none"/>
        <c:minorTickMark val="none"/>
        <c:tickLblPos val="nextTo"/>
        <c:crossAx val="163712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20963172804532576"/>
          <c:w val="0.65453499562554684"/>
          <c:h val="0.6436644286319733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Sheet1!$E$4</c:f>
              <c:strCache>
                <c:ptCount val="1"/>
                <c:pt idx="0">
                  <c:v>Actual Production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Sheet1!$B$15:$B$19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Sheet1!$E$15:$E$19</c:f>
              <c:numCache>
                <c:formatCode>_(* #,##0_);_(* \(#,##0\);_(* "-"??_);_(@_)</c:formatCode>
                <c:ptCount val="5"/>
                <c:pt idx="0">
                  <c:v>1728000</c:v>
                </c:pt>
                <c:pt idx="1">
                  <c:v>1521000</c:v>
                </c:pt>
                <c:pt idx="2">
                  <c:v>1353000</c:v>
                </c:pt>
                <c:pt idx="3">
                  <c:v>929000</c:v>
                </c:pt>
                <c:pt idx="4">
                  <c:v>445000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E-45D9-9D8A-1147756BA424}"/>
            </c:ext>
          </c:extLst>
        </c:ser>
        <c:ser>
          <c:idx val="4"/>
          <c:order val="4"/>
          <c:tx>
            <c:strRef>
              <c:f>Sheet1!$G$4</c:f>
              <c:strCache>
                <c:ptCount val="1"/>
                <c:pt idx="0">
                  <c:v>IPAD Forecast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Sheet1!$B$15:$B$19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Sheet1!$G$15:$G$19</c:f>
              <c:numCache>
                <c:formatCode>_(* #,##0_);_(* \(#,##0\);_(* "-"??_);_(@_)</c:formatCode>
                <c:ptCount val="5"/>
                <c:pt idx="0">
                  <c:v>1715000</c:v>
                </c:pt>
                <c:pt idx="1">
                  <c:v>1400000</c:v>
                </c:pt>
                <c:pt idx="2">
                  <c:v>1000000</c:v>
                </c:pt>
                <c:pt idx="3">
                  <c:v>650000</c:v>
                </c:pt>
                <c:pt idx="4">
                  <c:v>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E-45D9-9D8A-1147756BA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125760"/>
        <c:axId val="1637126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Sheet1!$B$15:$B$19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Sheet1!$C$15:$C$19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2023</c:v>
                      </c:pt>
                      <c:pt idx="1">
                        <c:v>2023</c:v>
                      </c:pt>
                      <c:pt idx="2">
                        <c:v>2023</c:v>
                      </c:pt>
                      <c:pt idx="3">
                        <c:v>2023</c:v>
                      </c:pt>
                      <c:pt idx="4">
                        <c:v>2023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98E-45D9-9D8A-1147756BA42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Sheet1!$D$4</c15:sqref>
                        </c15:formulaRef>
                      </c:ext>
                    </c:extLst>
                    <c:strCache>
                      <c:ptCount val="1"/>
                      <c:pt idx="0">
                        <c:v>Pred Month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Sheet1!$B$15:$B$19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Sheet1!$D$15:$D$19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98E-45D9-9D8A-1147756BA42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Sheet1!$F$4</c15:sqref>
                        </c15:formulaRef>
                      </c:ext>
                    </c:extLst>
                    <c:strCache>
                      <c:ptCount val="1"/>
                      <c:pt idx="0">
                        <c:v>UGB Forecast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Sheet1!$B$15:$B$19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Sheet1!$F$15:$F$19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5"/>
                      <c:pt idx="0">
                        <c:v>1639202.9529673699</c:v>
                      </c:pt>
                      <c:pt idx="1">
                        <c:v>1426744.25379877</c:v>
                      </c:pt>
                      <c:pt idx="2">
                        <c:v>1191624.0201697899</c:v>
                      </c:pt>
                      <c:pt idx="3">
                        <c:v>917561.83318960899</c:v>
                      </c:pt>
                      <c:pt idx="4">
                        <c:v>385564.877499444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98E-45D9-9D8A-1147756BA42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Sheet1!$H$4</c15:sqref>
                        </c15:formulaRef>
                      </c:ext>
                    </c:extLst>
                    <c:strCache>
                      <c:ptCount val="1"/>
                      <c:pt idx="0">
                        <c:v>Our Error 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Sheet1!$B$15:$B$19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Sheet1!$H$15:$H$19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5.1387179995734993E-2</c:v>
                      </c:pt>
                      <c:pt idx="1">
                        <c:v>6.1969589875890851E-2</c:v>
                      </c:pt>
                      <c:pt idx="2">
                        <c:v>0.11927271236526985</c:v>
                      </c:pt>
                      <c:pt idx="3">
                        <c:v>1.2312343175878369E-2</c:v>
                      </c:pt>
                      <c:pt idx="4">
                        <c:v>0.13356207303495729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98E-45D9-9D8A-1147756BA42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</c15:sqref>
                        </c15:formulaRef>
                      </c:ext>
                    </c:extLst>
                    <c:strCache>
                      <c:ptCount val="1"/>
                      <c:pt idx="0">
                        <c:v>Their Error %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Sheet1!$B$15:$B$19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Sheet1!$I$15:$I$19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7.5231481481481477E-3</c:v>
                      </c:pt>
                      <c:pt idx="1">
                        <c:v>7.955292570677186E-2</c:v>
                      </c:pt>
                      <c:pt idx="2">
                        <c:v>0.26090169992609019</c:v>
                      </c:pt>
                      <c:pt idx="3">
                        <c:v>0.30032292787944026</c:v>
                      </c:pt>
                      <c:pt idx="4">
                        <c:v>0.25842696629213485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98E-45D9-9D8A-1147756BA424}"/>
                  </c:ext>
                </c:extLst>
              </c15:ser>
            </c15:filteredBarSeries>
          </c:ext>
        </c:extLst>
      </c:barChart>
      <c:catAx>
        <c:axId val="163712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26720"/>
        <c:crosses val="autoZero"/>
        <c:auto val="1"/>
        <c:lblAlgn val="ctr"/>
        <c:lblOffset val="100"/>
        <c:noMultiLvlLbl val="0"/>
      </c:catAx>
      <c:valAx>
        <c:axId val="163712672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63712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20963172804532576"/>
          <c:w val="0.94144298466869891"/>
          <c:h val="0.6436644286319733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Sheet1!$E$4</c:f>
              <c:strCache>
                <c:ptCount val="1"/>
                <c:pt idx="0">
                  <c:v>Actual Production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Sheet1!$E$5:$E$9</c:f>
              <c:numCache>
                <c:formatCode>0,"k"</c:formatCode>
                <c:ptCount val="5"/>
                <c:pt idx="0">
                  <c:v>1501498</c:v>
                </c:pt>
                <c:pt idx="1">
                  <c:v>1409120</c:v>
                </c:pt>
                <c:pt idx="2">
                  <c:v>1097033</c:v>
                </c:pt>
                <c:pt idx="3">
                  <c:v>787750</c:v>
                </c:pt>
                <c:pt idx="4">
                  <c:v>363164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6-4053-8E80-6E2802F9523C}"/>
            </c:ext>
          </c:extLst>
        </c:ser>
        <c:ser>
          <c:idx val="4"/>
          <c:order val="4"/>
          <c:tx>
            <c:strRef>
              <c:f>Sheet1!$G$4</c:f>
              <c:strCache>
                <c:ptCount val="1"/>
                <c:pt idx="0">
                  <c:v>IPAD Forecast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Sheet1!$G$5:$G$9</c:f>
              <c:numCache>
                <c:formatCode>0,"k"</c:formatCode>
                <c:ptCount val="5"/>
                <c:pt idx="0">
                  <c:v>1700000</c:v>
                </c:pt>
                <c:pt idx="1">
                  <c:v>1370588.2352941176</c:v>
                </c:pt>
                <c:pt idx="2">
                  <c:v>1000000</c:v>
                </c:pt>
                <c:pt idx="3">
                  <c:v>500000</c:v>
                </c:pt>
                <c:pt idx="4">
                  <c:v>270000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C6-4053-8E80-6E2802F95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125760"/>
        <c:axId val="1637126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Sheet1!$C$5:$C$9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2022</c:v>
                      </c:pt>
                      <c:pt idx="1">
                        <c:v>2022</c:v>
                      </c:pt>
                      <c:pt idx="2">
                        <c:v>2022</c:v>
                      </c:pt>
                      <c:pt idx="3">
                        <c:v>2022</c:v>
                      </c:pt>
                      <c:pt idx="4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DC6-4053-8E80-6E2802F9523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Sheet1!$D$4</c15:sqref>
                        </c15:formulaRef>
                      </c:ext>
                    </c:extLst>
                    <c:strCache>
                      <c:ptCount val="1"/>
                      <c:pt idx="0">
                        <c:v>Pred Month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</c:v>
                      </c:pt>
                      <c:pt idx="1">
                        <c:v>9</c:v>
                      </c:pt>
                      <c:pt idx="2">
                        <c:v>9</c:v>
                      </c:pt>
                      <c:pt idx="3">
                        <c:v>9</c:v>
                      </c:pt>
                      <c:pt idx="4">
                        <c:v>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DC6-4053-8E80-6E2802F9523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Sheet1!$F$4</c15:sqref>
                        </c15:formulaRef>
                      </c:ext>
                    </c:extLst>
                    <c:strCache>
                      <c:ptCount val="1"/>
                      <c:pt idx="0">
                        <c:v>UGB Forecast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Sheet1!$F$5:$F$9</c15:sqref>
                        </c15:formulaRef>
                      </c:ext>
                    </c:extLst>
                    <c:numCache>
                      <c:formatCode>0,"k"</c:formatCode>
                      <c:ptCount val="5"/>
                      <c:pt idx="0">
                        <c:v>1806029.2954766101</c:v>
                      </c:pt>
                      <c:pt idx="1">
                        <c:v>1441997.1873594299</c:v>
                      </c:pt>
                      <c:pt idx="2">
                        <c:v>1019687.01480499</c:v>
                      </c:pt>
                      <c:pt idx="3">
                        <c:v>786089.37377156096</c:v>
                      </c:pt>
                      <c:pt idx="4">
                        <c:v>355220.56690548401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C6-4053-8E80-6E2802F9523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Sheet1!$H$4</c15:sqref>
                        </c15:formulaRef>
                      </c:ext>
                    </c:extLst>
                    <c:strCache>
                      <c:ptCount val="1"/>
                      <c:pt idx="0">
                        <c:v>Our Error 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Sheet1!$H$5:$H$9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0.20281831575973466</c:v>
                      </c:pt>
                      <c:pt idx="1">
                        <c:v>2.3331715793849989E-2</c:v>
                      </c:pt>
                      <c:pt idx="2">
                        <c:v>7.0504702406408895E-2</c:v>
                      </c:pt>
                      <c:pt idx="3">
                        <c:v>2.1080624924646645E-3</c:v>
                      </c:pt>
                      <c:pt idx="4">
                        <c:v>2.1872853847066311E-2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C6-4053-8E80-6E2802F9523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</c15:sqref>
                        </c15:formulaRef>
                      </c:ext>
                    </c:extLst>
                    <c:strCache>
                      <c:ptCount val="1"/>
                      <c:pt idx="0">
                        <c:v>Their Error %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Sheet1!$I$5:$I$9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0.13220264029655718</c:v>
                      </c:pt>
                      <c:pt idx="1">
                        <c:v>2.7344558806831502E-2</c:v>
                      </c:pt>
                      <c:pt idx="2">
                        <c:v>8.8450393014613049E-2</c:v>
                      </c:pt>
                      <c:pt idx="3">
                        <c:v>0.365280863218026</c:v>
                      </c:pt>
                      <c:pt idx="4">
                        <c:v>0.2565342379751297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C6-4053-8E80-6E2802F9523C}"/>
                  </c:ext>
                </c:extLst>
              </c15:ser>
            </c15:filteredBarSeries>
          </c:ext>
        </c:extLst>
      </c:barChart>
      <c:catAx>
        <c:axId val="163712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26720"/>
        <c:crosses val="autoZero"/>
        <c:auto val="1"/>
        <c:lblAlgn val="ctr"/>
        <c:lblOffset val="100"/>
        <c:noMultiLvlLbl val="0"/>
      </c:catAx>
      <c:valAx>
        <c:axId val="1637126720"/>
        <c:scaling>
          <c:orientation val="minMax"/>
        </c:scaling>
        <c:delete val="1"/>
        <c:axPos val="l"/>
        <c:numFmt formatCode="0,&quot;k&quot;" sourceLinked="1"/>
        <c:majorTickMark val="none"/>
        <c:minorTickMark val="none"/>
        <c:tickLblPos val="nextTo"/>
        <c:crossAx val="163712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20963172804532576"/>
          <c:w val="0.94144298466869891"/>
          <c:h val="0.6436644286319733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Sheet1!$E$4</c:f>
              <c:strCache>
                <c:ptCount val="1"/>
                <c:pt idx="0">
                  <c:v>Actual Production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Sheet1!$B$15:$B$19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Sheet1!$E$15:$E$19</c:f>
              <c:numCache>
                <c:formatCode>_(* #,##0_);_(* \(#,##0\);_(* "-"??_);_(@_)</c:formatCode>
                <c:ptCount val="5"/>
                <c:pt idx="0">
                  <c:v>1728000</c:v>
                </c:pt>
                <c:pt idx="1">
                  <c:v>1521000</c:v>
                </c:pt>
                <c:pt idx="2">
                  <c:v>1353000</c:v>
                </c:pt>
                <c:pt idx="3">
                  <c:v>929000</c:v>
                </c:pt>
                <c:pt idx="4">
                  <c:v>445000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B-4E6E-B25E-0BB7D8F5F35B}"/>
            </c:ext>
          </c:extLst>
        </c:ser>
        <c:ser>
          <c:idx val="4"/>
          <c:order val="4"/>
          <c:tx>
            <c:strRef>
              <c:f>Sheet1!$G$4</c:f>
              <c:strCache>
                <c:ptCount val="1"/>
                <c:pt idx="0">
                  <c:v>IPAD Forecast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Sheet1!$B$15:$B$19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Sheet1!$G$15:$G$19</c:f>
              <c:numCache>
                <c:formatCode>_(* #,##0_);_(* \(#,##0\);_(* "-"??_);_(@_)</c:formatCode>
                <c:ptCount val="5"/>
                <c:pt idx="0">
                  <c:v>1715000</c:v>
                </c:pt>
                <c:pt idx="1">
                  <c:v>1400000</c:v>
                </c:pt>
                <c:pt idx="2">
                  <c:v>1000000</c:v>
                </c:pt>
                <c:pt idx="3">
                  <c:v>650000</c:v>
                </c:pt>
                <c:pt idx="4">
                  <c:v>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7B-4E6E-B25E-0BB7D8F5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125760"/>
        <c:axId val="1637126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Sheet1!$B$15:$B$19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Sheet1!$C$15:$C$19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2023</c:v>
                      </c:pt>
                      <c:pt idx="1">
                        <c:v>2023</c:v>
                      </c:pt>
                      <c:pt idx="2">
                        <c:v>2023</c:v>
                      </c:pt>
                      <c:pt idx="3">
                        <c:v>2023</c:v>
                      </c:pt>
                      <c:pt idx="4">
                        <c:v>2023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57B-4E6E-B25E-0BB7D8F5F35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Sheet1!$D$4</c15:sqref>
                        </c15:formulaRef>
                      </c:ext>
                    </c:extLst>
                    <c:strCache>
                      <c:ptCount val="1"/>
                      <c:pt idx="0">
                        <c:v>Pred Month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Sheet1!$B$15:$B$19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Sheet1!$D$15:$D$19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57B-4E6E-B25E-0BB7D8F5F35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Sheet1!$F$4</c15:sqref>
                        </c15:formulaRef>
                      </c:ext>
                    </c:extLst>
                    <c:strCache>
                      <c:ptCount val="1"/>
                      <c:pt idx="0">
                        <c:v>UGB Forecast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Sheet1!$B$15:$B$19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Sheet1!$F$15:$F$19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5"/>
                      <c:pt idx="0">
                        <c:v>1639202.9529673699</c:v>
                      </c:pt>
                      <c:pt idx="1">
                        <c:v>1426744.25379877</c:v>
                      </c:pt>
                      <c:pt idx="2">
                        <c:v>1191624.0201697899</c:v>
                      </c:pt>
                      <c:pt idx="3">
                        <c:v>917561.83318960899</c:v>
                      </c:pt>
                      <c:pt idx="4">
                        <c:v>385564.877499444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57B-4E6E-B25E-0BB7D8F5F35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Sheet1!$H$4</c15:sqref>
                        </c15:formulaRef>
                      </c:ext>
                    </c:extLst>
                    <c:strCache>
                      <c:ptCount val="1"/>
                      <c:pt idx="0">
                        <c:v>Our Error 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Sheet1!$B$15:$B$19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Sheet1!$H$15:$H$19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5.1387179995734993E-2</c:v>
                      </c:pt>
                      <c:pt idx="1">
                        <c:v>6.1969589875890851E-2</c:v>
                      </c:pt>
                      <c:pt idx="2">
                        <c:v>0.11927271236526985</c:v>
                      </c:pt>
                      <c:pt idx="3">
                        <c:v>1.2312343175878369E-2</c:v>
                      </c:pt>
                      <c:pt idx="4">
                        <c:v>0.13356207303495729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57B-4E6E-B25E-0BB7D8F5F35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</c15:sqref>
                        </c15:formulaRef>
                      </c:ext>
                    </c:extLst>
                    <c:strCache>
                      <c:ptCount val="1"/>
                      <c:pt idx="0">
                        <c:v>Their Error %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Sheet1!$B$15:$B$19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Sheet1!$I$15:$I$19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7.5231481481481477E-3</c:v>
                      </c:pt>
                      <c:pt idx="1">
                        <c:v>7.955292570677186E-2</c:v>
                      </c:pt>
                      <c:pt idx="2">
                        <c:v>0.26090169992609019</c:v>
                      </c:pt>
                      <c:pt idx="3">
                        <c:v>0.30032292787944026</c:v>
                      </c:pt>
                      <c:pt idx="4">
                        <c:v>0.25842696629213485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57B-4E6E-B25E-0BB7D8F5F35B}"/>
                  </c:ext>
                </c:extLst>
              </c15:ser>
            </c15:filteredBarSeries>
          </c:ext>
        </c:extLst>
      </c:barChart>
      <c:catAx>
        <c:axId val="163712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26720"/>
        <c:crosses val="autoZero"/>
        <c:auto val="1"/>
        <c:lblAlgn val="ctr"/>
        <c:lblOffset val="100"/>
        <c:noMultiLvlLbl val="0"/>
      </c:catAx>
      <c:valAx>
        <c:axId val="163712672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63712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20963172804532576"/>
          <c:w val="0.94144298466869891"/>
          <c:h val="0.6436644286319733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Sheet1!$E$4</c:f>
              <c:strCache>
                <c:ptCount val="1"/>
                <c:pt idx="0">
                  <c:v>Actual Production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Sheet1!$E$5:$E$9</c:f>
              <c:numCache>
                <c:formatCode>0,"k"</c:formatCode>
                <c:ptCount val="5"/>
                <c:pt idx="0">
                  <c:v>1501498</c:v>
                </c:pt>
                <c:pt idx="1">
                  <c:v>1409120</c:v>
                </c:pt>
                <c:pt idx="2">
                  <c:v>1097033</c:v>
                </c:pt>
                <c:pt idx="3">
                  <c:v>787750</c:v>
                </c:pt>
                <c:pt idx="4">
                  <c:v>363164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8-4A0D-AC6F-8715A50BA902}"/>
            </c:ext>
          </c:extLst>
        </c:ser>
        <c:ser>
          <c:idx val="3"/>
          <c:order val="3"/>
          <c:tx>
            <c:strRef>
              <c:f>Sheet1!$F$4</c:f>
              <c:strCache>
                <c:ptCount val="1"/>
                <c:pt idx="0">
                  <c:v>UGB Forecast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  <c:extLst xmlns:c15="http://schemas.microsoft.com/office/drawing/2012/chart"/>
            </c:strRef>
          </c:cat>
          <c:val>
            <c:numRef>
              <c:f>Sheet1!$F$5:$F$9</c:f>
              <c:numCache>
                <c:formatCode>0,"k"</c:formatCode>
                <c:ptCount val="5"/>
                <c:pt idx="0">
                  <c:v>1806029.2954766101</c:v>
                </c:pt>
                <c:pt idx="1">
                  <c:v>1441997.1873594299</c:v>
                </c:pt>
                <c:pt idx="2">
                  <c:v>1019687.01480499</c:v>
                </c:pt>
                <c:pt idx="3">
                  <c:v>786089.37377156096</c:v>
                </c:pt>
                <c:pt idx="4">
                  <c:v>355220.56690548401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E858-4A0D-AC6F-8715A50BA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125760"/>
        <c:axId val="1637126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Sheet1!$C$5:$C$9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2022</c:v>
                      </c:pt>
                      <c:pt idx="1">
                        <c:v>2022</c:v>
                      </c:pt>
                      <c:pt idx="2">
                        <c:v>2022</c:v>
                      </c:pt>
                      <c:pt idx="3">
                        <c:v>2022</c:v>
                      </c:pt>
                      <c:pt idx="4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858-4A0D-AC6F-8715A50BA90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Sheet1!$D$4</c15:sqref>
                        </c15:formulaRef>
                      </c:ext>
                    </c:extLst>
                    <c:strCache>
                      <c:ptCount val="1"/>
                      <c:pt idx="0">
                        <c:v>Pred Month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</c:v>
                      </c:pt>
                      <c:pt idx="1">
                        <c:v>9</c:v>
                      </c:pt>
                      <c:pt idx="2">
                        <c:v>9</c:v>
                      </c:pt>
                      <c:pt idx="3">
                        <c:v>9</c:v>
                      </c:pt>
                      <c:pt idx="4">
                        <c:v>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858-4A0D-AC6F-8715A50BA90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Sheet1!$G$4</c15:sqref>
                        </c15:formulaRef>
                      </c:ext>
                    </c:extLst>
                    <c:strCache>
                      <c:ptCount val="1"/>
                      <c:pt idx="0">
                        <c:v>IPAD Forecast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Sheet1!$G$5:$G$9</c15:sqref>
                        </c15:formulaRef>
                      </c:ext>
                    </c:extLst>
                    <c:numCache>
                      <c:formatCode>0,"k"</c:formatCode>
                      <c:ptCount val="5"/>
                      <c:pt idx="0">
                        <c:v>1700000</c:v>
                      </c:pt>
                      <c:pt idx="1">
                        <c:v>1370588.2352941176</c:v>
                      </c:pt>
                      <c:pt idx="2">
                        <c:v>1000000</c:v>
                      </c:pt>
                      <c:pt idx="3">
                        <c:v>500000</c:v>
                      </c:pt>
                      <c:pt idx="4">
                        <c:v>270000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858-4A0D-AC6F-8715A50BA90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Sheet1!$H$4</c15:sqref>
                        </c15:formulaRef>
                      </c:ext>
                    </c:extLst>
                    <c:strCache>
                      <c:ptCount val="1"/>
                      <c:pt idx="0">
                        <c:v>Our Error 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Sheet1!$H$5:$H$9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0.20281831575973466</c:v>
                      </c:pt>
                      <c:pt idx="1">
                        <c:v>2.3331715793849989E-2</c:v>
                      </c:pt>
                      <c:pt idx="2">
                        <c:v>7.0504702406408895E-2</c:v>
                      </c:pt>
                      <c:pt idx="3">
                        <c:v>2.1080624924646645E-3</c:v>
                      </c:pt>
                      <c:pt idx="4">
                        <c:v>2.1872853847066311E-2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858-4A0D-AC6F-8715A50BA90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</c15:sqref>
                        </c15:formulaRef>
                      </c:ext>
                    </c:extLst>
                    <c:strCache>
                      <c:ptCount val="1"/>
                      <c:pt idx="0">
                        <c:v>Their Error %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Sheet1!$I$5:$I$9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0.13220264029655718</c:v>
                      </c:pt>
                      <c:pt idx="1">
                        <c:v>2.7344558806831502E-2</c:v>
                      </c:pt>
                      <c:pt idx="2">
                        <c:v>8.8450393014613049E-2</c:v>
                      </c:pt>
                      <c:pt idx="3">
                        <c:v>0.365280863218026</c:v>
                      </c:pt>
                      <c:pt idx="4">
                        <c:v>0.2565342379751297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858-4A0D-AC6F-8715A50BA902}"/>
                  </c:ext>
                </c:extLst>
              </c15:ser>
            </c15:filteredBarSeries>
          </c:ext>
        </c:extLst>
      </c:barChart>
      <c:catAx>
        <c:axId val="163712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26720"/>
        <c:crosses val="autoZero"/>
        <c:auto val="1"/>
        <c:lblAlgn val="ctr"/>
        <c:lblOffset val="100"/>
        <c:noMultiLvlLbl val="0"/>
      </c:catAx>
      <c:valAx>
        <c:axId val="1637126720"/>
        <c:scaling>
          <c:orientation val="minMax"/>
        </c:scaling>
        <c:delete val="1"/>
        <c:axPos val="l"/>
        <c:numFmt formatCode="0,&quot;k&quot;" sourceLinked="1"/>
        <c:majorTickMark val="none"/>
        <c:minorTickMark val="none"/>
        <c:tickLblPos val="nextTo"/>
        <c:crossAx val="163712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20963172804532576"/>
          <c:w val="0.94144298466869891"/>
          <c:h val="0.6436644286319733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Sheet1!$E$4</c:f>
              <c:strCache>
                <c:ptCount val="1"/>
                <c:pt idx="0">
                  <c:v>Actual Production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Sheet1!$E$5:$E$9</c:f>
              <c:numCache>
                <c:formatCode>0,"k"</c:formatCode>
                <c:ptCount val="5"/>
                <c:pt idx="0">
                  <c:v>1501498</c:v>
                </c:pt>
                <c:pt idx="1">
                  <c:v>1409120</c:v>
                </c:pt>
                <c:pt idx="2">
                  <c:v>1097033</c:v>
                </c:pt>
                <c:pt idx="3">
                  <c:v>787750</c:v>
                </c:pt>
                <c:pt idx="4">
                  <c:v>363164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E-4722-B9C1-602460E32F19}"/>
            </c:ext>
          </c:extLst>
        </c:ser>
        <c:ser>
          <c:idx val="3"/>
          <c:order val="3"/>
          <c:tx>
            <c:strRef>
              <c:f>Sheet1!$F$4</c:f>
              <c:strCache>
                <c:ptCount val="1"/>
                <c:pt idx="0">
                  <c:v>UGB Forecast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  <c:extLst xmlns:c15="http://schemas.microsoft.com/office/drawing/2012/chart"/>
            </c:strRef>
          </c:cat>
          <c:val>
            <c:numRef>
              <c:f>Sheet1!$F$5:$F$9</c:f>
              <c:numCache>
                <c:formatCode>0,"k"</c:formatCode>
                <c:ptCount val="5"/>
                <c:pt idx="0">
                  <c:v>1806029.2954766101</c:v>
                </c:pt>
                <c:pt idx="1">
                  <c:v>1441997.1873594299</c:v>
                </c:pt>
                <c:pt idx="2">
                  <c:v>1019687.01480499</c:v>
                </c:pt>
                <c:pt idx="3">
                  <c:v>786089.37377156096</c:v>
                </c:pt>
                <c:pt idx="4">
                  <c:v>355220.56690548401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1-376E-4722-B9C1-602460E32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125760"/>
        <c:axId val="1637126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Sheet1!$C$5:$C$9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2022</c:v>
                      </c:pt>
                      <c:pt idx="1">
                        <c:v>2022</c:v>
                      </c:pt>
                      <c:pt idx="2">
                        <c:v>2022</c:v>
                      </c:pt>
                      <c:pt idx="3">
                        <c:v>2022</c:v>
                      </c:pt>
                      <c:pt idx="4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76E-4722-B9C1-602460E32F1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Sheet1!$D$4</c15:sqref>
                        </c15:formulaRef>
                      </c:ext>
                    </c:extLst>
                    <c:strCache>
                      <c:ptCount val="1"/>
                      <c:pt idx="0">
                        <c:v>Pred Month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</c:v>
                      </c:pt>
                      <c:pt idx="1">
                        <c:v>9</c:v>
                      </c:pt>
                      <c:pt idx="2">
                        <c:v>9</c:v>
                      </c:pt>
                      <c:pt idx="3">
                        <c:v>9</c:v>
                      </c:pt>
                      <c:pt idx="4">
                        <c:v>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76E-4722-B9C1-602460E32F1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Sheet1!$G$4</c15:sqref>
                        </c15:formulaRef>
                      </c:ext>
                    </c:extLst>
                    <c:strCache>
                      <c:ptCount val="1"/>
                      <c:pt idx="0">
                        <c:v>IPAD Forecast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Sheet1!$G$5:$G$9</c15:sqref>
                        </c15:formulaRef>
                      </c:ext>
                    </c:extLst>
                    <c:numCache>
                      <c:formatCode>0,"k"</c:formatCode>
                      <c:ptCount val="5"/>
                      <c:pt idx="0">
                        <c:v>1700000</c:v>
                      </c:pt>
                      <c:pt idx="1">
                        <c:v>1370588.2352941176</c:v>
                      </c:pt>
                      <c:pt idx="2">
                        <c:v>1000000</c:v>
                      </c:pt>
                      <c:pt idx="3">
                        <c:v>500000</c:v>
                      </c:pt>
                      <c:pt idx="4">
                        <c:v>270000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76E-4722-B9C1-602460E32F1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Sheet1!$H$4</c15:sqref>
                        </c15:formulaRef>
                      </c:ext>
                    </c:extLst>
                    <c:strCache>
                      <c:ptCount val="1"/>
                      <c:pt idx="0">
                        <c:v>Our Error 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Sheet1!$H$5:$H$9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0.20281831575973466</c:v>
                      </c:pt>
                      <c:pt idx="1">
                        <c:v>2.3331715793849989E-2</c:v>
                      </c:pt>
                      <c:pt idx="2">
                        <c:v>7.0504702406408895E-2</c:v>
                      </c:pt>
                      <c:pt idx="3">
                        <c:v>2.1080624924646645E-3</c:v>
                      </c:pt>
                      <c:pt idx="4">
                        <c:v>2.1872853847066311E-2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76E-4722-B9C1-602460E32F1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</c15:sqref>
                        </c15:formulaRef>
                      </c:ext>
                    </c:extLst>
                    <c:strCache>
                      <c:ptCount val="1"/>
                      <c:pt idx="0">
                        <c:v>Their Error %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Sheet1!$B$5:$B$9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Sheet1!$I$5:$I$9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0.13220264029655718</c:v>
                      </c:pt>
                      <c:pt idx="1">
                        <c:v>2.7344558806831502E-2</c:v>
                      </c:pt>
                      <c:pt idx="2">
                        <c:v>8.8450393014613049E-2</c:v>
                      </c:pt>
                      <c:pt idx="3">
                        <c:v>0.365280863218026</c:v>
                      </c:pt>
                      <c:pt idx="4">
                        <c:v>0.2565342379751297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76E-4722-B9C1-602460E32F19}"/>
                  </c:ext>
                </c:extLst>
              </c15:ser>
            </c15:filteredBarSeries>
          </c:ext>
        </c:extLst>
      </c:barChart>
      <c:catAx>
        <c:axId val="163712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26720"/>
        <c:crosses val="autoZero"/>
        <c:auto val="1"/>
        <c:lblAlgn val="ctr"/>
        <c:lblOffset val="100"/>
        <c:noMultiLvlLbl val="0"/>
      </c:catAx>
      <c:valAx>
        <c:axId val="1637126720"/>
        <c:scaling>
          <c:orientation val="minMax"/>
        </c:scaling>
        <c:delete val="1"/>
        <c:axPos val="l"/>
        <c:numFmt formatCode="0,&quot;k&quot;" sourceLinked="1"/>
        <c:majorTickMark val="none"/>
        <c:minorTickMark val="none"/>
        <c:tickLblPos val="nextTo"/>
        <c:crossAx val="163712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9.4152318353932965E-2"/>
          <c:w val="0.94144298466869891"/>
          <c:h val="0.68903141582287109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Sheet1!$F$28</c:f>
              <c:strCache>
                <c:ptCount val="1"/>
                <c:pt idx="0">
                  <c:v>Roux / UGB Forecast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Sheet1!$B$29:$B$33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Sheet1!$F$29:$F$33</c:f>
              <c:numCache>
                <c:formatCode>0.00,,"M"</c:formatCode>
                <c:ptCount val="5"/>
                <c:pt idx="0">
                  <c:v>1880953.2993578699</c:v>
                </c:pt>
                <c:pt idx="1">
                  <c:v>1678256.4724063801</c:v>
                </c:pt>
                <c:pt idx="2">
                  <c:v>1544194.88818619</c:v>
                </c:pt>
                <c:pt idx="3">
                  <c:v>1040537.09847153</c:v>
                </c:pt>
                <c:pt idx="4">
                  <c:v>507187.13420673099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3-480F-B9B1-2CD05C992D96}"/>
            </c:ext>
          </c:extLst>
        </c:ser>
        <c:ser>
          <c:idx val="4"/>
          <c:order val="4"/>
          <c:tx>
            <c:strRef>
              <c:f>Sheet1!$G$28</c:f>
              <c:strCache>
                <c:ptCount val="1"/>
                <c:pt idx="0">
                  <c:v>IPAD Forecast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Sheet1!$B$29:$B$33</c:f>
              <c:strCache>
                <c:ptCount val="5"/>
                <c:pt idx="0">
                  <c:v>Peanut</c:v>
                </c:pt>
                <c:pt idx="1">
                  <c:v>Rice</c:v>
                </c:pt>
                <c:pt idx="2">
                  <c:v>Millet</c:v>
                </c:pt>
                <c:pt idx="3">
                  <c:v>Corn</c:v>
                </c:pt>
                <c:pt idx="4">
                  <c:v>Sorghum</c:v>
                </c:pt>
              </c:strCache>
            </c:strRef>
          </c:cat>
          <c:val>
            <c:numRef>
              <c:f>Sheet1!$G$29:$G$33</c:f>
              <c:numCache>
                <c:formatCode>0.00,,"M"</c:formatCode>
                <c:ptCount val="5"/>
                <c:pt idx="0">
                  <c:v>1728000</c:v>
                </c:pt>
                <c:pt idx="1">
                  <c:v>1520588.2352941176</c:v>
                </c:pt>
                <c:pt idx="2">
                  <c:v>1353000</c:v>
                </c:pt>
                <c:pt idx="3">
                  <c:v>929000</c:v>
                </c:pt>
                <c:pt idx="4">
                  <c:v>445000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2493-480F-B9B1-2CD05C992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125760"/>
        <c:axId val="1637126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Sheet1!$C$28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Sheet1!$B$29:$B$33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Sheet1!$C$29:$C$33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2024</c:v>
                      </c:pt>
                      <c:pt idx="1">
                        <c:v>2024</c:v>
                      </c:pt>
                      <c:pt idx="2">
                        <c:v>2024</c:v>
                      </c:pt>
                      <c:pt idx="3">
                        <c:v>2024</c:v>
                      </c:pt>
                      <c:pt idx="4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493-480F-B9B1-2CD05C992D9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Sheet1!$D$28</c15:sqref>
                        </c15:formulaRef>
                      </c:ext>
                    </c:extLst>
                    <c:strCache>
                      <c:ptCount val="1"/>
                      <c:pt idx="0">
                        <c:v>Pred Month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Sheet1!$B$29:$B$33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Sheet1!$D$29:$D$33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493-480F-B9B1-2CD05C992D9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Sheet1!$E$28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Sheet1!$B$29:$B$33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Sheet1!$E$29:$E$33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493-480F-B9B1-2CD05C992D9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Sheet1!$H$28</c15:sqref>
                        </c15:formulaRef>
                      </c:ext>
                    </c:extLst>
                    <c:strCache>
                      <c:ptCount val="1"/>
                      <c:pt idx="0">
                        <c:v>Diff 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Sheet1!$B$29:$B$33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Sheet1!$H$29:$H$33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8.851464083210063E-2</c:v>
                      </c:pt>
                      <c:pt idx="1">
                        <c:v>0.10368897605061753</c:v>
                      </c:pt>
                      <c:pt idx="2">
                        <c:v>0.14131181684123434</c:v>
                      </c:pt>
                      <c:pt idx="3">
                        <c:v>0.12006146229443489</c:v>
                      </c:pt>
                      <c:pt idx="4">
                        <c:v>0.13974636900388987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493-480F-B9B1-2CD05C992D9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Sheet1!$I$28</c15:sqref>
                        </c15:formulaRef>
                      </c:ext>
                    </c:extLst>
                    <c:strCache>
                      <c:ptCount val="1"/>
                      <c:pt idx="0">
                        <c:v>Their Error %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Sheet1!$B$29:$B$33</c15:sqref>
                        </c15:formulaRef>
                      </c:ext>
                    </c:extLst>
                    <c:strCache>
                      <c:ptCount val="5"/>
                      <c:pt idx="0">
                        <c:v>Peanut</c:v>
                      </c:pt>
                      <c:pt idx="1">
                        <c:v>Rice</c:v>
                      </c:pt>
                      <c:pt idx="2">
                        <c:v>Millet</c:v>
                      </c:pt>
                      <c:pt idx="3">
                        <c:v>Corn</c:v>
                      </c:pt>
                      <c:pt idx="4">
                        <c:v>Sorghum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Sheet1!$I$29:$I$33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493-480F-B9B1-2CD05C992D96}"/>
                  </c:ext>
                </c:extLst>
              </c15:ser>
            </c15:filteredBarSeries>
          </c:ext>
        </c:extLst>
      </c:barChart>
      <c:catAx>
        <c:axId val="163712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26720"/>
        <c:crosses val="autoZero"/>
        <c:auto val="1"/>
        <c:lblAlgn val="ctr"/>
        <c:lblOffset val="100"/>
        <c:noMultiLvlLbl val="0"/>
      </c:catAx>
      <c:valAx>
        <c:axId val="1637126720"/>
        <c:scaling>
          <c:orientation val="minMax"/>
        </c:scaling>
        <c:delete val="1"/>
        <c:axPos val="l"/>
        <c:numFmt formatCode="0.00,,&quot;M&quot;" sourceLinked="1"/>
        <c:majorTickMark val="none"/>
        <c:minorTickMark val="none"/>
        <c:tickLblPos val="nextTo"/>
        <c:crossAx val="163712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212725</xdr:colOff>
      <xdr:row>2</xdr:row>
      <xdr:rowOff>25400</xdr:rowOff>
    </xdr:from>
    <xdr:to>
      <xdr:col>16</xdr:col>
      <xdr:colOff>517525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06ADA-C755-A711-F814-CC27213DD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203200</xdr:colOff>
      <xdr:row>15</xdr:row>
      <xdr:rowOff>25400</xdr:rowOff>
    </xdr:from>
    <xdr:to>
      <xdr:col>16</xdr:col>
      <xdr:colOff>508000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DE1163-FB96-4491-9588-96A90A4BA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18143</xdr:colOff>
      <xdr:row>2</xdr:row>
      <xdr:rowOff>36286</xdr:rowOff>
    </xdr:from>
    <xdr:to>
      <xdr:col>22</xdr:col>
      <xdr:colOff>453571</xdr:colOff>
      <xdr:row>14</xdr:row>
      <xdr:rowOff>68036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A47F7E-1978-4B6D-85E6-D1481BA07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18142</xdr:colOff>
      <xdr:row>15</xdr:row>
      <xdr:rowOff>27214</xdr:rowOff>
    </xdr:from>
    <xdr:to>
      <xdr:col>22</xdr:col>
      <xdr:colOff>453570</xdr:colOff>
      <xdr:row>27</xdr:row>
      <xdr:rowOff>58965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F6DC31-0793-41D8-9B84-75A0FCE85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2</xdr:row>
      <xdr:rowOff>36286</xdr:rowOff>
    </xdr:from>
    <xdr:to>
      <xdr:col>28</xdr:col>
      <xdr:colOff>435428</xdr:colOff>
      <xdr:row>14</xdr:row>
      <xdr:rowOff>68036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42ADBE-9CDA-4EBA-BA53-3BC98AD72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18143</xdr:colOff>
      <xdr:row>15</xdr:row>
      <xdr:rowOff>18143</xdr:rowOff>
    </xdr:from>
    <xdr:to>
      <xdr:col>28</xdr:col>
      <xdr:colOff>453571</xdr:colOff>
      <xdr:row>27</xdr:row>
      <xdr:rowOff>49894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6E7A3C-3587-4DC0-969B-1BC4292D7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57726</xdr:colOff>
      <xdr:row>28</xdr:row>
      <xdr:rowOff>150089</xdr:rowOff>
    </xdr:from>
    <xdr:to>
      <xdr:col>25</xdr:col>
      <xdr:colOff>453571</xdr:colOff>
      <xdr:row>45</xdr:row>
      <xdr:rowOff>145143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F10509-9FE2-43B7-B133-6E6901A79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0903-9DFB-4C20-A8DE-D42B0042FF62}">
  <sheetPr filterMode="1"/>
  <dimension ref="A1:L421"/>
  <sheetViews>
    <sheetView workbookViewId="0">
      <selection activeCell="G172" sqref="G172:G176"/>
    </sheetView>
  </sheetViews>
  <sheetFormatPr defaultRowHeight="14.5" x14ac:dyDescent="0.35"/>
  <cols>
    <col min="7" max="8" width="13.81640625" bestFit="1" customWidth="1"/>
    <col min="9" max="9" width="12.1796875" bestFit="1" customWidth="1"/>
    <col min="10" max="10" width="8.81640625" bestFit="1" customWidth="1"/>
    <col min="11" max="11" width="9.36328125" bestFit="1" customWidth="1"/>
    <col min="12" max="12" width="13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5">
      <c r="A2" t="s">
        <v>12</v>
      </c>
      <c r="B2">
        <v>2017</v>
      </c>
      <c r="C2">
        <v>1</v>
      </c>
      <c r="D2" t="s">
        <v>13</v>
      </c>
      <c r="E2" t="s">
        <v>14</v>
      </c>
      <c r="F2" t="s">
        <v>15</v>
      </c>
      <c r="G2">
        <v>990878.95</v>
      </c>
      <c r="H2">
        <v>1011269</v>
      </c>
      <c r="I2">
        <v>-20390.05</v>
      </c>
      <c r="J2">
        <v>-2.0162835012246999E-2</v>
      </c>
      <c r="K2">
        <v>20390.05</v>
      </c>
      <c r="L2">
        <v>2.0162835012246999E-2</v>
      </c>
    </row>
    <row r="3" spans="1:12" hidden="1" x14ac:dyDescent="0.35">
      <c r="A3" t="s">
        <v>16</v>
      </c>
      <c r="B3">
        <v>2017</v>
      </c>
      <c r="C3">
        <v>1</v>
      </c>
      <c r="D3" t="s">
        <v>13</v>
      </c>
      <c r="E3" t="s">
        <v>14</v>
      </c>
      <c r="F3" t="s">
        <v>15</v>
      </c>
      <c r="G3">
        <v>416053.4</v>
      </c>
      <c r="H3">
        <v>410364</v>
      </c>
      <c r="I3">
        <v>5689.4000000000196</v>
      </c>
      <c r="J3">
        <v>1.38642765934634E-2</v>
      </c>
      <c r="K3">
        <v>5689.4000000000196</v>
      </c>
      <c r="L3">
        <v>1.38642765934634E-2</v>
      </c>
    </row>
    <row r="4" spans="1:12" hidden="1" x14ac:dyDescent="0.35">
      <c r="A4" t="s">
        <v>17</v>
      </c>
      <c r="B4">
        <v>2017</v>
      </c>
      <c r="C4">
        <v>1</v>
      </c>
      <c r="D4" t="s">
        <v>13</v>
      </c>
      <c r="E4" t="s">
        <v>14</v>
      </c>
      <c r="F4" t="s">
        <v>15</v>
      </c>
      <c r="G4">
        <v>703507.2</v>
      </c>
      <c r="H4">
        <v>875484</v>
      </c>
      <c r="I4">
        <v>-171976.8</v>
      </c>
      <c r="J4">
        <v>-0.19643625697328501</v>
      </c>
      <c r="K4">
        <v>171976.8</v>
      </c>
      <c r="L4">
        <v>0.19643625697328501</v>
      </c>
    </row>
    <row r="5" spans="1:12" hidden="1" x14ac:dyDescent="0.35">
      <c r="A5" t="s">
        <v>18</v>
      </c>
      <c r="B5">
        <v>2017</v>
      </c>
      <c r="C5">
        <v>1</v>
      </c>
      <c r="D5" t="s">
        <v>13</v>
      </c>
      <c r="E5" t="s">
        <v>14</v>
      </c>
      <c r="F5" t="s">
        <v>15</v>
      </c>
      <c r="G5">
        <v>196474.15</v>
      </c>
      <c r="H5">
        <v>215491</v>
      </c>
      <c r="I5">
        <v>-19016.849999999999</v>
      </c>
      <c r="J5">
        <v>-8.8248929189618103E-2</v>
      </c>
      <c r="K5">
        <v>19016.849999999999</v>
      </c>
      <c r="L5">
        <v>8.8248929189618103E-2</v>
      </c>
    </row>
    <row r="6" spans="1:12" hidden="1" x14ac:dyDescent="0.35">
      <c r="A6" t="s">
        <v>19</v>
      </c>
      <c r="B6">
        <v>2017</v>
      </c>
      <c r="C6">
        <v>1</v>
      </c>
      <c r="D6" t="s">
        <v>13</v>
      </c>
      <c r="E6" t="s">
        <v>14</v>
      </c>
      <c r="F6" t="s">
        <v>15</v>
      </c>
      <c r="G6">
        <v>722630.3</v>
      </c>
      <c r="H6">
        <v>1405223</v>
      </c>
      <c r="I6">
        <v>-682592.7</v>
      </c>
      <c r="J6">
        <v>-0.48575400488036402</v>
      </c>
      <c r="K6">
        <v>682592.7</v>
      </c>
      <c r="L6">
        <v>0.48575400488036402</v>
      </c>
    </row>
    <row r="7" spans="1:12" hidden="1" x14ac:dyDescent="0.35">
      <c r="A7" t="s">
        <v>12</v>
      </c>
      <c r="B7">
        <v>2018</v>
      </c>
      <c r="C7">
        <v>1</v>
      </c>
      <c r="D7" t="s">
        <v>13</v>
      </c>
      <c r="E7" t="s">
        <v>14</v>
      </c>
      <c r="F7" t="s">
        <v>15</v>
      </c>
      <c r="G7">
        <v>1053147.3500000001</v>
      </c>
      <c r="H7">
        <v>1206587.27</v>
      </c>
      <c r="I7">
        <v>-153439.91999999899</v>
      </c>
      <c r="J7">
        <v>-0.12716852217411501</v>
      </c>
      <c r="K7">
        <v>153439.91999999899</v>
      </c>
      <c r="L7">
        <v>0.12716852217411501</v>
      </c>
    </row>
    <row r="8" spans="1:12" hidden="1" x14ac:dyDescent="0.35">
      <c r="A8" t="s">
        <v>16</v>
      </c>
      <c r="B8">
        <v>2018</v>
      </c>
      <c r="C8">
        <v>1</v>
      </c>
      <c r="D8" t="s">
        <v>13</v>
      </c>
      <c r="E8" t="s">
        <v>14</v>
      </c>
      <c r="F8" t="s">
        <v>15</v>
      </c>
      <c r="G8">
        <v>426868.15</v>
      </c>
      <c r="H8">
        <v>485672.51</v>
      </c>
      <c r="I8">
        <v>-58804.359999999899</v>
      </c>
      <c r="J8">
        <v>-0.121078213794723</v>
      </c>
      <c r="K8">
        <v>58804.359999999899</v>
      </c>
      <c r="L8">
        <v>0.121078213794723</v>
      </c>
    </row>
    <row r="9" spans="1:12" hidden="1" x14ac:dyDescent="0.35">
      <c r="A9" t="s">
        <v>17</v>
      </c>
      <c r="B9">
        <v>2018</v>
      </c>
      <c r="C9">
        <v>1</v>
      </c>
      <c r="D9" t="s">
        <v>13</v>
      </c>
      <c r="E9" t="s">
        <v>14</v>
      </c>
      <c r="F9" t="s">
        <v>15</v>
      </c>
      <c r="G9">
        <v>897934.15</v>
      </c>
      <c r="H9">
        <v>897574.18</v>
      </c>
      <c r="I9">
        <v>359.969999999972</v>
      </c>
      <c r="J9">
        <v>4.0104763263128999E-4</v>
      </c>
      <c r="K9">
        <v>359.969999999972</v>
      </c>
      <c r="L9">
        <v>4.0104763263128999E-4</v>
      </c>
    </row>
    <row r="10" spans="1:12" hidden="1" x14ac:dyDescent="0.35">
      <c r="A10" t="s">
        <v>18</v>
      </c>
      <c r="B10">
        <v>2018</v>
      </c>
      <c r="C10">
        <v>1</v>
      </c>
      <c r="D10" t="s">
        <v>13</v>
      </c>
      <c r="E10" t="s">
        <v>14</v>
      </c>
      <c r="F10" t="s">
        <v>15</v>
      </c>
      <c r="G10">
        <v>220350.7</v>
      </c>
      <c r="H10">
        <v>295463.11</v>
      </c>
      <c r="I10">
        <v>-75112.409999999902</v>
      </c>
      <c r="J10">
        <v>-0.25421924923216199</v>
      </c>
      <c r="K10">
        <v>75112.409999999902</v>
      </c>
      <c r="L10">
        <v>0.25421924923216199</v>
      </c>
    </row>
    <row r="11" spans="1:12" hidden="1" x14ac:dyDescent="0.35">
      <c r="A11" t="s">
        <v>19</v>
      </c>
      <c r="B11">
        <v>2018</v>
      </c>
      <c r="C11">
        <v>1</v>
      </c>
      <c r="D11" t="s">
        <v>13</v>
      </c>
      <c r="E11" t="s">
        <v>14</v>
      </c>
      <c r="F11" t="s">
        <v>15</v>
      </c>
      <c r="G11">
        <v>1448242.9</v>
      </c>
      <c r="H11">
        <v>1500588.37</v>
      </c>
      <c r="I11">
        <v>-52345.470000000198</v>
      </c>
      <c r="J11">
        <v>-3.4883297142973398E-2</v>
      </c>
      <c r="K11">
        <v>52345.470000000198</v>
      </c>
      <c r="L11">
        <v>3.4883297142973398E-2</v>
      </c>
    </row>
    <row r="12" spans="1:12" hidden="1" x14ac:dyDescent="0.35">
      <c r="A12" t="s">
        <v>12</v>
      </c>
      <c r="B12">
        <v>2019</v>
      </c>
      <c r="C12">
        <v>1</v>
      </c>
      <c r="D12" t="s">
        <v>13</v>
      </c>
      <c r="E12" t="s">
        <v>14</v>
      </c>
      <c r="F12" t="s">
        <v>15</v>
      </c>
      <c r="G12">
        <v>1260740.6835</v>
      </c>
      <c r="H12">
        <v>1155730.28</v>
      </c>
      <c r="I12">
        <v>105010.4035</v>
      </c>
      <c r="J12">
        <v>9.0860649164613005E-2</v>
      </c>
      <c r="K12">
        <v>105010.4035</v>
      </c>
      <c r="L12">
        <v>9.0860649164613005E-2</v>
      </c>
    </row>
    <row r="13" spans="1:12" hidden="1" x14ac:dyDescent="0.35">
      <c r="A13" t="s">
        <v>16</v>
      </c>
      <c r="B13">
        <v>2019</v>
      </c>
      <c r="C13">
        <v>1</v>
      </c>
      <c r="D13" t="s">
        <v>13</v>
      </c>
      <c r="E13" t="s">
        <v>14</v>
      </c>
      <c r="F13" t="s">
        <v>15</v>
      </c>
      <c r="G13">
        <v>507739.18550000002</v>
      </c>
      <c r="H13">
        <v>530704.97</v>
      </c>
      <c r="I13">
        <v>-22965.7844999999</v>
      </c>
      <c r="J13">
        <v>-4.3274108588054E-2</v>
      </c>
      <c r="K13">
        <v>22965.7844999999</v>
      </c>
      <c r="L13">
        <v>4.3274108588054E-2</v>
      </c>
    </row>
    <row r="14" spans="1:12" hidden="1" x14ac:dyDescent="0.35">
      <c r="A14" t="s">
        <v>17</v>
      </c>
      <c r="B14">
        <v>2019</v>
      </c>
      <c r="C14">
        <v>1</v>
      </c>
      <c r="D14" t="s">
        <v>13</v>
      </c>
      <c r="E14" t="s">
        <v>14</v>
      </c>
      <c r="F14" t="s">
        <v>15</v>
      </c>
      <c r="G14">
        <v>920381.98899999994</v>
      </c>
      <c r="H14">
        <v>807044.07</v>
      </c>
      <c r="I14">
        <v>113337.91899999999</v>
      </c>
      <c r="J14">
        <v>0.14043584881306401</v>
      </c>
      <c r="K14">
        <v>113337.91899999999</v>
      </c>
      <c r="L14">
        <v>0.14043584881306401</v>
      </c>
    </row>
    <row r="15" spans="1:12" hidden="1" x14ac:dyDescent="0.35">
      <c r="A15" t="s">
        <v>18</v>
      </c>
      <c r="B15">
        <v>2019</v>
      </c>
      <c r="C15">
        <v>1</v>
      </c>
      <c r="D15" t="s">
        <v>13</v>
      </c>
      <c r="E15" t="s">
        <v>14</v>
      </c>
      <c r="F15" t="s">
        <v>15</v>
      </c>
      <c r="G15">
        <v>304257.56549999898</v>
      </c>
      <c r="H15">
        <v>270168.31</v>
      </c>
      <c r="I15">
        <v>34089.255499999897</v>
      </c>
      <c r="J15">
        <v>0.126177846321058</v>
      </c>
      <c r="K15">
        <v>34089.255499999897</v>
      </c>
      <c r="L15">
        <v>0.126177846321058</v>
      </c>
    </row>
    <row r="16" spans="1:12" hidden="1" x14ac:dyDescent="0.35">
      <c r="A16" t="s">
        <v>19</v>
      </c>
      <c r="B16">
        <v>2019</v>
      </c>
      <c r="C16">
        <v>1</v>
      </c>
      <c r="D16" t="s">
        <v>13</v>
      </c>
      <c r="E16" t="s">
        <v>14</v>
      </c>
      <c r="F16" t="s">
        <v>15</v>
      </c>
      <c r="G16">
        <v>1546664.4384999999</v>
      </c>
      <c r="H16">
        <v>1421288.11</v>
      </c>
      <c r="I16">
        <v>125376.3285</v>
      </c>
      <c r="J16">
        <v>8.8213169179329906E-2</v>
      </c>
      <c r="K16">
        <v>125376.3285</v>
      </c>
      <c r="L16">
        <v>8.8213169179329906E-2</v>
      </c>
    </row>
    <row r="17" spans="1:12" hidden="1" x14ac:dyDescent="0.35">
      <c r="A17" t="s">
        <v>12</v>
      </c>
      <c r="B17">
        <v>2020</v>
      </c>
      <c r="C17">
        <v>1</v>
      </c>
      <c r="D17" t="s">
        <v>13</v>
      </c>
      <c r="E17" t="s">
        <v>14</v>
      </c>
      <c r="F17" t="s">
        <v>15</v>
      </c>
      <c r="G17">
        <v>1195316.794</v>
      </c>
      <c r="H17">
        <v>1349723.01</v>
      </c>
      <c r="I17">
        <v>-154406.21599999999</v>
      </c>
      <c r="J17">
        <v>-0.11439844683391701</v>
      </c>
      <c r="K17">
        <v>154406.21599999999</v>
      </c>
      <c r="L17">
        <v>0.11439844683391701</v>
      </c>
    </row>
    <row r="18" spans="1:12" hidden="1" x14ac:dyDescent="0.35">
      <c r="A18" t="s">
        <v>16</v>
      </c>
      <c r="B18">
        <v>2020</v>
      </c>
      <c r="C18">
        <v>1</v>
      </c>
      <c r="D18" t="s">
        <v>13</v>
      </c>
      <c r="E18" t="s">
        <v>14</v>
      </c>
      <c r="F18" t="s">
        <v>15</v>
      </c>
      <c r="G18">
        <v>553933.61849999998</v>
      </c>
      <c r="H18">
        <v>761883.04</v>
      </c>
      <c r="I18">
        <v>-207949.4215</v>
      </c>
      <c r="J18">
        <v>-0.272941397277986</v>
      </c>
      <c r="K18">
        <v>207949.4215</v>
      </c>
      <c r="L18">
        <v>0.272941397277986</v>
      </c>
    </row>
    <row r="19" spans="1:12" hidden="1" x14ac:dyDescent="0.35">
      <c r="A19" t="s">
        <v>17</v>
      </c>
      <c r="B19">
        <v>2020</v>
      </c>
      <c r="C19">
        <v>1</v>
      </c>
      <c r="D19" t="s">
        <v>13</v>
      </c>
      <c r="E19" t="s">
        <v>14</v>
      </c>
      <c r="F19" t="s">
        <v>15</v>
      </c>
      <c r="G19">
        <v>813646.27349999896</v>
      </c>
      <c r="H19">
        <v>1144854.92</v>
      </c>
      <c r="I19">
        <v>-331208.64649999997</v>
      </c>
      <c r="J19">
        <v>-0.28930185014185</v>
      </c>
      <c r="K19">
        <v>331208.64649999997</v>
      </c>
      <c r="L19">
        <v>0.28930185014185</v>
      </c>
    </row>
    <row r="20" spans="1:12" hidden="1" x14ac:dyDescent="0.35">
      <c r="A20" t="s">
        <v>18</v>
      </c>
      <c r="B20">
        <v>2020</v>
      </c>
      <c r="C20">
        <v>1</v>
      </c>
      <c r="D20" t="s">
        <v>13</v>
      </c>
      <c r="E20" t="s">
        <v>14</v>
      </c>
      <c r="F20" t="s">
        <v>15</v>
      </c>
      <c r="G20">
        <v>276304.52549999999</v>
      </c>
      <c r="H20">
        <v>377322.86</v>
      </c>
      <c r="I20">
        <v>-101018.3345</v>
      </c>
      <c r="J20">
        <v>-0.26772386518007402</v>
      </c>
      <c r="K20">
        <v>101018.3345</v>
      </c>
      <c r="L20">
        <v>0.26772386518007402</v>
      </c>
    </row>
    <row r="21" spans="1:12" hidden="1" x14ac:dyDescent="0.35">
      <c r="A21" t="s">
        <v>19</v>
      </c>
      <c r="B21">
        <v>2020</v>
      </c>
      <c r="C21">
        <v>1</v>
      </c>
      <c r="D21" t="s">
        <v>13</v>
      </c>
      <c r="E21" t="s">
        <v>14</v>
      </c>
      <c r="F21" t="s">
        <v>15</v>
      </c>
      <c r="G21">
        <v>1441640.0155</v>
      </c>
      <c r="H21">
        <v>1797486.11</v>
      </c>
      <c r="I21">
        <v>-355846.09449999902</v>
      </c>
      <c r="J21">
        <v>-0.197968758990855</v>
      </c>
      <c r="K21">
        <v>355846.09449999902</v>
      </c>
      <c r="L21">
        <v>0.197968758990855</v>
      </c>
    </row>
    <row r="22" spans="1:12" hidden="1" x14ac:dyDescent="0.35">
      <c r="A22" t="s">
        <v>12</v>
      </c>
      <c r="B22">
        <v>2021</v>
      </c>
      <c r="C22">
        <v>1</v>
      </c>
      <c r="D22" t="s">
        <v>13</v>
      </c>
      <c r="E22" t="s">
        <v>14</v>
      </c>
      <c r="F22" t="s">
        <v>15</v>
      </c>
      <c r="G22">
        <v>1407094.5105000001</v>
      </c>
      <c r="H22">
        <v>1382119.93</v>
      </c>
      <c r="I22">
        <v>24974.580500000098</v>
      </c>
      <c r="J22">
        <v>1.8069763670942901E-2</v>
      </c>
      <c r="K22">
        <v>24974.580500000098</v>
      </c>
      <c r="L22">
        <v>1.8069763670942901E-2</v>
      </c>
    </row>
    <row r="23" spans="1:12" hidden="1" x14ac:dyDescent="0.35">
      <c r="A23" t="s">
        <v>16</v>
      </c>
      <c r="B23">
        <v>2021</v>
      </c>
      <c r="C23">
        <v>1</v>
      </c>
      <c r="D23" t="s">
        <v>13</v>
      </c>
      <c r="E23" t="s">
        <v>14</v>
      </c>
      <c r="F23" t="s">
        <v>15</v>
      </c>
      <c r="G23">
        <v>796047.54200000002</v>
      </c>
      <c r="H23">
        <v>754620.83</v>
      </c>
      <c r="I23">
        <v>41426.712</v>
      </c>
      <c r="J23">
        <v>5.4897387340871601E-2</v>
      </c>
      <c r="K23">
        <v>41426.712</v>
      </c>
      <c r="L23">
        <v>5.4897387340871601E-2</v>
      </c>
    </row>
    <row r="24" spans="1:12" hidden="1" x14ac:dyDescent="0.35">
      <c r="A24" t="s">
        <v>17</v>
      </c>
      <c r="B24">
        <v>2021</v>
      </c>
      <c r="C24">
        <v>1</v>
      </c>
      <c r="D24" t="s">
        <v>13</v>
      </c>
      <c r="E24" t="s">
        <v>14</v>
      </c>
      <c r="F24" t="s">
        <v>15</v>
      </c>
      <c r="G24">
        <v>1172086.6159999999</v>
      </c>
      <c r="H24">
        <v>1039859.75</v>
      </c>
      <c r="I24">
        <v>132226.86599999899</v>
      </c>
      <c r="J24">
        <v>0.127158365346865</v>
      </c>
      <c r="K24">
        <v>132226.86599999899</v>
      </c>
      <c r="L24">
        <v>0.127158365346865</v>
      </c>
    </row>
    <row r="25" spans="1:12" hidden="1" x14ac:dyDescent="0.35">
      <c r="A25" t="s">
        <v>18</v>
      </c>
      <c r="B25">
        <v>2021</v>
      </c>
      <c r="C25">
        <v>1</v>
      </c>
      <c r="D25" t="s">
        <v>13</v>
      </c>
      <c r="E25" t="s">
        <v>14</v>
      </c>
      <c r="F25" t="s">
        <v>15</v>
      </c>
      <c r="G25">
        <v>389001.50299999898</v>
      </c>
      <c r="H25">
        <v>352474.34</v>
      </c>
      <c r="I25">
        <v>36527.162999999899</v>
      </c>
      <c r="J25">
        <v>0.103630701173878</v>
      </c>
      <c r="K25">
        <v>36527.162999999899</v>
      </c>
      <c r="L25">
        <v>0.103630701173878</v>
      </c>
    </row>
    <row r="26" spans="1:12" hidden="1" x14ac:dyDescent="0.35">
      <c r="A26" t="s">
        <v>19</v>
      </c>
      <c r="B26">
        <v>2021</v>
      </c>
      <c r="C26">
        <v>1</v>
      </c>
      <c r="D26" t="s">
        <v>13</v>
      </c>
      <c r="E26" t="s">
        <v>14</v>
      </c>
      <c r="F26" t="s">
        <v>15</v>
      </c>
      <c r="G26">
        <v>1834283.4154999999</v>
      </c>
      <c r="H26">
        <v>1677803.56</v>
      </c>
      <c r="I26">
        <v>156479.85550000001</v>
      </c>
      <c r="J26">
        <v>9.3264705851500304E-2</v>
      </c>
      <c r="K26">
        <v>156479.85550000001</v>
      </c>
      <c r="L26">
        <v>9.3264705851500304E-2</v>
      </c>
    </row>
    <row r="27" spans="1:12" hidden="1" x14ac:dyDescent="0.35">
      <c r="A27" t="s">
        <v>12</v>
      </c>
      <c r="B27">
        <v>2022</v>
      </c>
      <c r="C27">
        <v>1</v>
      </c>
      <c r="D27" t="s">
        <v>13</v>
      </c>
      <c r="E27" t="s">
        <v>14</v>
      </c>
      <c r="F27" t="s">
        <v>15</v>
      </c>
      <c r="G27">
        <v>1440876.4764999901</v>
      </c>
      <c r="H27">
        <v>1409120</v>
      </c>
      <c r="I27">
        <v>31756.476499999801</v>
      </c>
      <c r="J27">
        <v>2.2536389022936199E-2</v>
      </c>
      <c r="K27">
        <v>31756.476499999801</v>
      </c>
      <c r="L27">
        <v>2.2536389022936199E-2</v>
      </c>
    </row>
    <row r="28" spans="1:12" hidden="1" x14ac:dyDescent="0.35">
      <c r="A28" t="s">
        <v>16</v>
      </c>
      <c r="B28">
        <v>2022</v>
      </c>
      <c r="C28">
        <v>1</v>
      </c>
      <c r="D28" t="s">
        <v>13</v>
      </c>
      <c r="E28" t="s">
        <v>14</v>
      </c>
      <c r="F28" t="s">
        <v>15</v>
      </c>
      <c r="G28">
        <v>786924.57149999996</v>
      </c>
      <c r="H28">
        <v>787750</v>
      </c>
      <c r="I28">
        <v>-825.42850000003796</v>
      </c>
      <c r="J28">
        <v>-1.04783052999052E-3</v>
      </c>
      <c r="K28">
        <v>825.42850000003796</v>
      </c>
      <c r="L28">
        <v>1.04783052999052E-3</v>
      </c>
    </row>
    <row r="29" spans="1:12" hidden="1" x14ac:dyDescent="0.35">
      <c r="A29" t="s">
        <v>17</v>
      </c>
      <c r="B29">
        <v>2022</v>
      </c>
      <c r="C29">
        <v>1</v>
      </c>
      <c r="D29" t="s">
        <v>13</v>
      </c>
      <c r="E29" t="s">
        <v>14</v>
      </c>
      <c r="F29" t="s">
        <v>15</v>
      </c>
      <c r="G29">
        <v>1064019.9875</v>
      </c>
      <c r="H29">
        <v>1097033</v>
      </c>
      <c r="I29">
        <v>-33013.012499999903</v>
      </c>
      <c r="J29">
        <v>-3.0092998569778599E-2</v>
      </c>
      <c r="K29">
        <v>33013.012499999903</v>
      </c>
      <c r="L29">
        <v>3.0092998569778599E-2</v>
      </c>
    </row>
    <row r="30" spans="1:12" hidden="1" x14ac:dyDescent="0.35">
      <c r="A30" t="s">
        <v>18</v>
      </c>
      <c r="B30">
        <v>2022</v>
      </c>
      <c r="C30">
        <v>1</v>
      </c>
      <c r="D30" t="s">
        <v>13</v>
      </c>
      <c r="E30" t="s">
        <v>14</v>
      </c>
      <c r="F30" t="s">
        <v>15</v>
      </c>
      <c r="G30">
        <v>362615.60700000002</v>
      </c>
      <c r="H30">
        <v>363164</v>
      </c>
      <c r="I30">
        <v>-548.39299999998104</v>
      </c>
      <c r="J30">
        <v>-1.5100422949410699E-3</v>
      </c>
      <c r="K30">
        <v>548.39299999998104</v>
      </c>
      <c r="L30">
        <v>1.5100422949410699E-3</v>
      </c>
    </row>
    <row r="31" spans="1:12" hidden="1" x14ac:dyDescent="0.35">
      <c r="A31" t="s">
        <v>19</v>
      </c>
      <c r="B31">
        <v>2022</v>
      </c>
      <c r="C31">
        <v>1</v>
      </c>
      <c r="D31" t="s">
        <v>13</v>
      </c>
      <c r="E31" t="s">
        <v>14</v>
      </c>
      <c r="F31" t="s">
        <v>15</v>
      </c>
      <c r="G31">
        <v>1717325.9380000001</v>
      </c>
      <c r="H31">
        <v>1501498</v>
      </c>
      <c r="I31">
        <v>215827.93799999999</v>
      </c>
      <c r="J31">
        <v>0.143741741913742</v>
      </c>
      <c r="K31">
        <v>215827.93799999999</v>
      </c>
      <c r="L31">
        <v>0.143741741913742</v>
      </c>
    </row>
    <row r="32" spans="1:12" hidden="1" x14ac:dyDescent="0.35">
      <c r="A32" t="s">
        <v>12</v>
      </c>
      <c r="B32">
        <v>2023</v>
      </c>
      <c r="C32">
        <v>1</v>
      </c>
      <c r="D32" t="s">
        <v>13</v>
      </c>
      <c r="E32" t="s">
        <v>14</v>
      </c>
      <c r="F32" t="s">
        <v>15</v>
      </c>
      <c r="G32">
        <v>1470956.25</v>
      </c>
      <c r="H32">
        <v>1521000</v>
      </c>
      <c r="I32">
        <v>-50043.75</v>
      </c>
      <c r="J32">
        <v>-3.2901873767258297E-2</v>
      </c>
      <c r="K32">
        <v>50043.75</v>
      </c>
      <c r="L32">
        <v>3.2901873767258297E-2</v>
      </c>
    </row>
    <row r="33" spans="1:12" hidden="1" x14ac:dyDescent="0.35">
      <c r="A33" t="s">
        <v>16</v>
      </c>
      <c r="B33">
        <v>2023</v>
      </c>
      <c r="C33">
        <v>1</v>
      </c>
      <c r="D33" t="s">
        <v>13</v>
      </c>
      <c r="E33" t="s">
        <v>14</v>
      </c>
      <c r="F33" t="s">
        <v>15</v>
      </c>
      <c r="G33">
        <v>823118.9</v>
      </c>
      <c r="H33">
        <v>929000</v>
      </c>
      <c r="I33">
        <v>-105881.099999999</v>
      </c>
      <c r="J33">
        <v>-0.113973196986006</v>
      </c>
      <c r="K33">
        <v>105881.099999999</v>
      </c>
      <c r="L33">
        <v>0.113973196986006</v>
      </c>
    </row>
    <row r="34" spans="1:12" hidden="1" x14ac:dyDescent="0.35">
      <c r="A34" t="s">
        <v>17</v>
      </c>
      <c r="B34">
        <v>2023</v>
      </c>
      <c r="C34">
        <v>1</v>
      </c>
      <c r="D34" t="s">
        <v>13</v>
      </c>
      <c r="E34" t="s">
        <v>14</v>
      </c>
      <c r="F34" t="s">
        <v>15</v>
      </c>
      <c r="G34">
        <v>1131143.6499999999</v>
      </c>
      <c r="H34">
        <v>1353000</v>
      </c>
      <c r="I34">
        <v>-221856.35</v>
      </c>
      <c r="J34">
        <v>-0.163973651145602</v>
      </c>
      <c r="K34">
        <v>221856.35</v>
      </c>
      <c r="L34">
        <v>0.163973651145602</v>
      </c>
    </row>
    <row r="35" spans="1:12" hidden="1" x14ac:dyDescent="0.35">
      <c r="A35" t="s">
        <v>18</v>
      </c>
      <c r="B35">
        <v>2023</v>
      </c>
      <c r="C35">
        <v>1</v>
      </c>
      <c r="D35" t="s">
        <v>13</v>
      </c>
      <c r="E35" t="s">
        <v>14</v>
      </c>
      <c r="F35" t="s">
        <v>15</v>
      </c>
      <c r="G35">
        <v>375475.75</v>
      </c>
      <c r="H35">
        <v>445000</v>
      </c>
      <c r="I35">
        <v>-69524.25</v>
      </c>
      <c r="J35">
        <v>-0.156234269662921</v>
      </c>
      <c r="K35">
        <v>69524.25</v>
      </c>
      <c r="L35">
        <v>0.156234269662921</v>
      </c>
    </row>
    <row r="36" spans="1:12" hidden="1" x14ac:dyDescent="0.35">
      <c r="A36" t="s">
        <v>19</v>
      </c>
      <c r="B36">
        <v>2023</v>
      </c>
      <c r="C36">
        <v>1</v>
      </c>
      <c r="D36" t="s">
        <v>13</v>
      </c>
      <c r="E36" t="s">
        <v>14</v>
      </c>
      <c r="F36" t="s">
        <v>15</v>
      </c>
      <c r="G36">
        <v>1563536.75</v>
      </c>
      <c r="H36">
        <v>1728000</v>
      </c>
      <c r="I36">
        <v>-164463.25</v>
      </c>
      <c r="J36">
        <v>-9.5175491898148099E-2</v>
      </c>
      <c r="K36">
        <v>164463.25</v>
      </c>
      <c r="L36">
        <v>9.5175491898148099E-2</v>
      </c>
    </row>
    <row r="37" spans="1:12" hidden="1" x14ac:dyDescent="0.35">
      <c r="A37" t="s">
        <v>12</v>
      </c>
      <c r="B37">
        <v>2017</v>
      </c>
      <c r="C37">
        <v>2</v>
      </c>
      <c r="D37" t="s">
        <v>13</v>
      </c>
      <c r="E37" t="s">
        <v>14</v>
      </c>
      <c r="F37" t="s">
        <v>15</v>
      </c>
      <c r="G37">
        <v>984894.670137865</v>
      </c>
      <c r="H37">
        <v>1011269</v>
      </c>
      <c r="I37">
        <v>-26374.329862134298</v>
      </c>
      <c r="J37">
        <v>-2.6080429502075401E-2</v>
      </c>
      <c r="K37">
        <v>26374.329862134298</v>
      </c>
      <c r="L37">
        <v>2.6080429502075401E-2</v>
      </c>
    </row>
    <row r="38" spans="1:12" hidden="1" x14ac:dyDescent="0.35">
      <c r="A38" t="s">
        <v>16</v>
      </c>
      <c r="B38">
        <v>2017</v>
      </c>
      <c r="C38">
        <v>2</v>
      </c>
      <c r="D38" t="s">
        <v>13</v>
      </c>
      <c r="E38" t="s">
        <v>14</v>
      </c>
      <c r="F38" t="s">
        <v>15</v>
      </c>
      <c r="G38">
        <v>423893.34876946697</v>
      </c>
      <c r="H38">
        <v>410364</v>
      </c>
      <c r="I38">
        <v>13529.348769467901</v>
      </c>
      <c r="J38">
        <v>3.2969141468228103E-2</v>
      </c>
      <c r="K38">
        <v>13529.348769467901</v>
      </c>
      <c r="L38">
        <v>3.2969141468228103E-2</v>
      </c>
    </row>
    <row r="39" spans="1:12" hidden="1" x14ac:dyDescent="0.35">
      <c r="A39" t="s">
        <v>17</v>
      </c>
      <c r="B39">
        <v>2017</v>
      </c>
      <c r="C39">
        <v>2</v>
      </c>
      <c r="D39" t="s">
        <v>13</v>
      </c>
      <c r="E39" t="s">
        <v>14</v>
      </c>
      <c r="F39" t="s">
        <v>15</v>
      </c>
      <c r="G39">
        <v>706277.57567435503</v>
      </c>
      <c r="H39">
        <v>875484</v>
      </c>
      <c r="I39">
        <v>-169206.42432564401</v>
      </c>
      <c r="J39">
        <v>-0.19327186370698199</v>
      </c>
      <c r="K39">
        <v>169206.42432564401</v>
      </c>
      <c r="L39">
        <v>0.19327186370698199</v>
      </c>
    </row>
    <row r="40" spans="1:12" hidden="1" x14ac:dyDescent="0.35">
      <c r="A40" t="s">
        <v>18</v>
      </c>
      <c r="B40">
        <v>2017</v>
      </c>
      <c r="C40">
        <v>2</v>
      </c>
      <c r="D40" t="s">
        <v>13</v>
      </c>
      <c r="E40" t="s">
        <v>14</v>
      </c>
      <c r="F40" t="s">
        <v>15</v>
      </c>
      <c r="G40">
        <v>196636.29104466</v>
      </c>
      <c r="H40">
        <v>215491</v>
      </c>
      <c r="I40">
        <v>-18854.7089553394</v>
      </c>
      <c r="J40">
        <v>-8.7496503126995903E-2</v>
      </c>
      <c r="K40">
        <v>18854.7089553394</v>
      </c>
      <c r="L40">
        <v>8.7496503126995903E-2</v>
      </c>
    </row>
    <row r="41" spans="1:12" hidden="1" x14ac:dyDescent="0.35">
      <c r="A41" t="s">
        <v>19</v>
      </c>
      <c r="B41">
        <v>2017</v>
      </c>
      <c r="C41">
        <v>2</v>
      </c>
      <c r="D41" t="s">
        <v>13</v>
      </c>
      <c r="E41" t="s">
        <v>14</v>
      </c>
      <c r="F41" t="s">
        <v>15</v>
      </c>
      <c r="G41">
        <v>782560.30224122806</v>
      </c>
      <c r="H41">
        <v>1405223</v>
      </c>
      <c r="I41">
        <v>-622662.69775877101</v>
      </c>
      <c r="J41">
        <v>-0.44310596806255698</v>
      </c>
      <c r="K41">
        <v>622662.69775877101</v>
      </c>
      <c r="L41">
        <v>0.44310596806255698</v>
      </c>
    </row>
    <row r="42" spans="1:12" hidden="1" x14ac:dyDescent="0.35">
      <c r="A42" t="s">
        <v>12</v>
      </c>
      <c r="B42">
        <v>2018</v>
      </c>
      <c r="C42">
        <v>2</v>
      </c>
      <c r="D42" t="s">
        <v>13</v>
      </c>
      <c r="E42" t="s">
        <v>14</v>
      </c>
      <c r="F42" t="s">
        <v>15</v>
      </c>
      <c r="G42">
        <v>1078165.1138964701</v>
      </c>
      <c r="H42">
        <v>1206587.27</v>
      </c>
      <c r="I42">
        <v>-128422.156103521</v>
      </c>
      <c r="J42">
        <v>-0.10643420438500099</v>
      </c>
      <c r="K42">
        <v>128422.156103521</v>
      </c>
      <c r="L42">
        <v>0.10643420438500099</v>
      </c>
    </row>
    <row r="43" spans="1:12" hidden="1" x14ac:dyDescent="0.35">
      <c r="A43" t="s">
        <v>16</v>
      </c>
      <c r="B43">
        <v>2018</v>
      </c>
      <c r="C43">
        <v>2</v>
      </c>
      <c r="D43" t="s">
        <v>13</v>
      </c>
      <c r="E43" t="s">
        <v>14</v>
      </c>
      <c r="F43" t="s">
        <v>15</v>
      </c>
      <c r="G43">
        <v>436426.26586521702</v>
      </c>
      <c r="H43">
        <v>485672.51</v>
      </c>
      <c r="I43">
        <v>-49246.244134782901</v>
      </c>
      <c r="J43">
        <v>-0.101398047286602</v>
      </c>
      <c r="K43">
        <v>49246.244134782901</v>
      </c>
      <c r="L43">
        <v>0.101398047286602</v>
      </c>
    </row>
    <row r="44" spans="1:12" hidden="1" x14ac:dyDescent="0.35">
      <c r="A44" t="s">
        <v>17</v>
      </c>
      <c r="B44">
        <v>2018</v>
      </c>
      <c r="C44">
        <v>2</v>
      </c>
      <c r="D44" t="s">
        <v>13</v>
      </c>
      <c r="E44" t="s">
        <v>14</v>
      </c>
      <c r="F44" t="s">
        <v>15</v>
      </c>
      <c r="G44">
        <v>937408.80437451799</v>
      </c>
      <c r="H44">
        <v>897574.18</v>
      </c>
      <c r="I44">
        <v>39834.624374517902</v>
      </c>
      <c r="J44">
        <v>4.4380314476646303E-2</v>
      </c>
      <c r="K44">
        <v>39834.624374517902</v>
      </c>
      <c r="L44">
        <v>4.4380314476646303E-2</v>
      </c>
    </row>
    <row r="45" spans="1:12" hidden="1" x14ac:dyDescent="0.35">
      <c r="A45" t="s">
        <v>18</v>
      </c>
      <c r="B45">
        <v>2018</v>
      </c>
      <c r="C45">
        <v>2</v>
      </c>
      <c r="D45" t="s">
        <v>13</v>
      </c>
      <c r="E45" t="s">
        <v>14</v>
      </c>
      <c r="F45" t="s">
        <v>15</v>
      </c>
      <c r="G45">
        <v>229942.242086215</v>
      </c>
      <c r="H45">
        <v>295463.11</v>
      </c>
      <c r="I45">
        <v>-65520.867913784801</v>
      </c>
      <c r="J45">
        <v>-0.221756509344888</v>
      </c>
      <c r="K45">
        <v>65520.867913784801</v>
      </c>
      <c r="L45">
        <v>0.221756509344888</v>
      </c>
    </row>
    <row r="46" spans="1:12" hidden="1" x14ac:dyDescent="0.35">
      <c r="A46" t="s">
        <v>19</v>
      </c>
      <c r="B46">
        <v>2018</v>
      </c>
      <c r="C46">
        <v>2</v>
      </c>
      <c r="D46" t="s">
        <v>13</v>
      </c>
      <c r="E46" t="s">
        <v>14</v>
      </c>
      <c r="F46" t="s">
        <v>15</v>
      </c>
      <c r="G46">
        <v>1344359.7745527399</v>
      </c>
      <c r="H46">
        <v>1500588.37</v>
      </c>
      <c r="I46">
        <v>-156228.595447253</v>
      </c>
      <c r="J46">
        <v>-0.104111559552639</v>
      </c>
      <c r="K46">
        <v>156228.595447253</v>
      </c>
      <c r="L46">
        <v>0.104111559552639</v>
      </c>
    </row>
    <row r="47" spans="1:12" hidden="1" x14ac:dyDescent="0.35">
      <c r="A47" t="s">
        <v>12</v>
      </c>
      <c r="B47">
        <v>2019</v>
      </c>
      <c r="C47">
        <v>2</v>
      </c>
      <c r="D47" t="s">
        <v>13</v>
      </c>
      <c r="E47" t="s">
        <v>14</v>
      </c>
      <c r="F47" t="s">
        <v>15</v>
      </c>
      <c r="G47">
        <v>1237663.72306005</v>
      </c>
      <c r="H47">
        <v>1155730.28</v>
      </c>
      <c r="I47">
        <v>81933.443060051606</v>
      </c>
      <c r="J47">
        <v>7.0893221781860402E-2</v>
      </c>
      <c r="K47">
        <v>81933.443060051606</v>
      </c>
      <c r="L47">
        <v>7.0893221781860402E-2</v>
      </c>
    </row>
    <row r="48" spans="1:12" hidden="1" x14ac:dyDescent="0.35">
      <c r="A48" t="s">
        <v>16</v>
      </c>
      <c r="B48">
        <v>2019</v>
      </c>
      <c r="C48">
        <v>2</v>
      </c>
      <c r="D48" t="s">
        <v>13</v>
      </c>
      <c r="E48" t="s">
        <v>14</v>
      </c>
      <c r="F48" t="s">
        <v>15</v>
      </c>
      <c r="G48">
        <v>482911.037637737</v>
      </c>
      <c r="H48">
        <v>530704.97</v>
      </c>
      <c r="I48">
        <v>-47793.932362262603</v>
      </c>
      <c r="J48">
        <v>-9.0057442579184105E-2</v>
      </c>
      <c r="K48">
        <v>47793.932362262603</v>
      </c>
      <c r="L48">
        <v>9.0057442579184105E-2</v>
      </c>
    </row>
    <row r="49" spans="1:12" hidden="1" x14ac:dyDescent="0.35">
      <c r="A49" t="s">
        <v>17</v>
      </c>
      <c r="B49">
        <v>2019</v>
      </c>
      <c r="C49">
        <v>2</v>
      </c>
      <c r="D49" t="s">
        <v>13</v>
      </c>
      <c r="E49" t="s">
        <v>14</v>
      </c>
      <c r="F49" t="s">
        <v>15</v>
      </c>
      <c r="G49">
        <v>877946.95615928597</v>
      </c>
      <c r="H49">
        <v>807044.07</v>
      </c>
      <c r="I49">
        <v>70902.886159286907</v>
      </c>
      <c r="J49">
        <v>8.7855036416148793E-2</v>
      </c>
      <c r="K49">
        <v>70902.886159286907</v>
      </c>
      <c r="L49">
        <v>8.7855036416148793E-2</v>
      </c>
    </row>
    <row r="50" spans="1:12" hidden="1" x14ac:dyDescent="0.35">
      <c r="A50" t="s">
        <v>18</v>
      </c>
      <c r="B50">
        <v>2019</v>
      </c>
      <c r="C50">
        <v>2</v>
      </c>
      <c r="D50" t="s">
        <v>13</v>
      </c>
      <c r="E50" t="s">
        <v>14</v>
      </c>
      <c r="F50" t="s">
        <v>15</v>
      </c>
      <c r="G50">
        <v>291526.412021511</v>
      </c>
      <c r="H50">
        <v>270168.31</v>
      </c>
      <c r="I50">
        <v>21358.1020215112</v>
      </c>
      <c r="J50">
        <v>7.9054801140486394E-2</v>
      </c>
      <c r="K50">
        <v>21358.1020215112</v>
      </c>
      <c r="L50">
        <v>7.9054801140486394E-2</v>
      </c>
    </row>
    <row r="51" spans="1:12" hidden="1" x14ac:dyDescent="0.35">
      <c r="A51" t="s">
        <v>19</v>
      </c>
      <c r="B51">
        <v>2019</v>
      </c>
      <c r="C51">
        <v>2</v>
      </c>
      <c r="D51" t="s">
        <v>13</v>
      </c>
      <c r="E51" t="s">
        <v>14</v>
      </c>
      <c r="F51" t="s">
        <v>15</v>
      </c>
      <c r="G51">
        <v>1536312.4042632801</v>
      </c>
      <c r="H51">
        <v>1421288.11</v>
      </c>
      <c r="I51">
        <v>115024.29426328299</v>
      </c>
      <c r="J51">
        <v>8.0929611282882993E-2</v>
      </c>
      <c r="K51">
        <v>115024.29426328299</v>
      </c>
      <c r="L51">
        <v>8.0929611282882993E-2</v>
      </c>
    </row>
    <row r="52" spans="1:12" hidden="1" x14ac:dyDescent="0.35">
      <c r="A52" t="s">
        <v>12</v>
      </c>
      <c r="B52">
        <v>2020</v>
      </c>
      <c r="C52">
        <v>2</v>
      </c>
      <c r="D52" t="s">
        <v>13</v>
      </c>
      <c r="E52" t="s">
        <v>14</v>
      </c>
      <c r="F52" t="s">
        <v>15</v>
      </c>
      <c r="G52">
        <v>1229280.9551691001</v>
      </c>
      <c r="H52">
        <v>1349723.01</v>
      </c>
      <c r="I52">
        <v>-120442.054830893</v>
      </c>
      <c r="J52">
        <v>-8.9234645878114902E-2</v>
      </c>
      <c r="K52">
        <v>120442.054830893</v>
      </c>
      <c r="L52">
        <v>8.9234645878114902E-2</v>
      </c>
    </row>
    <row r="53" spans="1:12" hidden="1" x14ac:dyDescent="0.35">
      <c r="A53" t="s">
        <v>16</v>
      </c>
      <c r="B53">
        <v>2020</v>
      </c>
      <c r="C53">
        <v>2</v>
      </c>
      <c r="D53" t="s">
        <v>13</v>
      </c>
      <c r="E53" t="s">
        <v>14</v>
      </c>
      <c r="F53" t="s">
        <v>15</v>
      </c>
      <c r="G53">
        <v>575588.81618516205</v>
      </c>
      <c r="H53">
        <v>761883.04</v>
      </c>
      <c r="I53">
        <v>-186294.22381483699</v>
      </c>
      <c r="J53">
        <v>-0.24451813996914401</v>
      </c>
      <c r="K53">
        <v>186294.22381483699</v>
      </c>
      <c r="L53">
        <v>0.24451813996914401</v>
      </c>
    </row>
    <row r="54" spans="1:12" hidden="1" x14ac:dyDescent="0.35">
      <c r="A54" t="s">
        <v>17</v>
      </c>
      <c r="B54">
        <v>2020</v>
      </c>
      <c r="C54">
        <v>2</v>
      </c>
      <c r="D54" t="s">
        <v>13</v>
      </c>
      <c r="E54" t="s">
        <v>14</v>
      </c>
      <c r="F54" t="s">
        <v>15</v>
      </c>
      <c r="G54">
        <v>865622.55067236198</v>
      </c>
      <c r="H54">
        <v>1144854.92</v>
      </c>
      <c r="I54">
        <v>-279232.36932763702</v>
      </c>
      <c r="J54">
        <v>-0.243901969105079</v>
      </c>
      <c r="K54">
        <v>279232.36932763702</v>
      </c>
      <c r="L54">
        <v>0.243901969105079</v>
      </c>
    </row>
    <row r="55" spans="1:12" hidden="1" x14ac:dyDescent="0.35">
      <c r="A55" t="s">
        <v>18</v>
      </c>
      <c r="B55">
        <v>2020</v>
      </c>
      <c r="C55">
        <v>2</v>
      </c>
      <c r="D55" t="s">
        <v>13</v>
      </c>
      <c r="E55" t="s">
        <v>14</v>
      </c>
      <c r="F55" t="s">
        <v>15</v>
      </c>
      <c r="G55">
        <v>290060.19525961502</v>
      </c>
      <c r="H55">
        <v>377322.86</v>
      </c>
      <c r="I55">
        <v>-87262.6647403846</v>
      </c>
      <c r="J55">
        <v>-0.23126789810822601</v>
      </c>
      <c r="K55">
        <v>87262.6647403846</v>
      </c>
      <c r="L55">
        <v>0.23126789810822601</v>
      </c>
    </row>
    <row r="56" spans="1:12" hidden="1" x14ac:dyDescent="0.35">
      <c r="A56" t="s">
        <v>19</v>
      </c>
      <c r="B56">
        <v>2020</v>
      </c>
      <c r="C56">
        <v>2</v>
      </c>
      <c r="D56" t="s">
        <v>13</v>
      </c>
      <c r="E56" t="s">
        <v>14</v>
      </c>
      <c r="F56" t="s">
        <v>15</v>
      </c>
      <c r="G56">
        <v>1466306.1211752801</v>
      </c>
      <c r="H56">
        <v>1797486.11</v>
      </c>
      <c r="I56">
        <v>-331179.988824717</v>
      </c>
      <c r="J56">
        <v>-0.18424620194963101</v>
      </c>
      <c r="K56">
        <v>331179.988824717</v>
      </c>
      <c r="L56">
        <v>0.18424620194963101</v>
      </c>
    </row>
    <row r="57" spans="1:12" hidden="1" x14ac:dyDescent="0.35">
      <c r="A57" t="s">
        <v>12</v>
      </c>
      <c r="B57">
        <v>2021</v>
      </c>
      <c r="C57">
        <v>2</v>
      </c>
      <c r="D57" t="s">
        <v>13</v>
      </c>
      <c r="E57" t="s">
        <v>14</v>
      </c>
      <c r="F57" t="s">
        <v>15</v>
      </c>
      <c r="G57">
        <v>1342363.6331544099</v>
      </c>
      <c r="H57">
        <v>1382119.93</v>
      </c>
      <c r="I57">
        <v>-39756.296845585297</v>
      </c>
      <c r="J57">
        <v>-2.8764722932245999E-2</v>
      </c>
      <c r="K57">
        <v>39756.296845585297</v>
      </c>
      <c r="L57">
        <v>2.8764722932245999E-2</v>
      </c>
    </row>
    <row r="58" spans="1:12" hidden="1" x14ac:dyDescent="0.35">
      <c r="A58" t="s">
        <v>16</v>
      </c>
      <c r="B58">
        <v>2021</v>
      </c>
      <c r="C58">
        <v>2</v>
      </c>
      <c r="D58" t="s">
        <v>13</v>
      </c>
      <c r="E58" t="s">
        <v>14</v>
      </c>
      <c r="F58" t="s">
        <v>15</v>
      </c>
      <c r="G58">
        <v>636560.77943970996</v>
      </c>
      <c r="H58">
        <v>754620.83</v>
      </c>
      <c r="I58">
        <v>-118060.050560289</v>
      </c>
      <c r="J58">
        <v>-0.156449498697629</v>
      </c>
      <c r="K58">
        <v>118060.050560289</v>
      </c>
      <c r="L58">
        <v>0.156449498697629</v>
      </c>
    </row>
    <row r="59" spans="1:12" hidden="1" x14ac:dyDescent="0.35">
      <c r="A59" t="s">
        <v>17</v>
      </c>
      <c r="B59">
        <v>2021</v>
      </c>
      <c r="C59">
        <v>2</v>
      </c>
      <c r="D59" t="s">
        <v>13</v>
      </c>
      <c r="E59" t="s">
        <v>14</v>
      </c>
      <c r="F59" t="s">
        <v>15</v>
      </c>
      <c r="G59">
        <v>945337.17218635499</v>
      </c>
      <c r="H59">
        <v>1039859.75</v>
      </c>
      <c r="I59">
        <v>-94522.577813644195</v>
      </c>
      <c r="J59">
        <v>-9.08993523536651E-2</v>
      </c>
      <c r="K59">
        <v>94522.577813644195</v>
      </c>
      <c r="L59">
        <v>9.08993523536651E-2</v>
      </c>
    </row>
    <row r="60" spans="1:12" hidden="1" x14ac:dyDescent="0.35">
      <c r="A60" t="s">
        <v>18</v>
      </c>
      <c r="B60">
        <v>2021</v>
      </c>
      <c r="C60">
        <v>2</v>
      </c>
      <c r="D60" t="s">
        <v>13</v>
      </c>
      <c r="E60" t="s">
        <v>14</v>
      </c>
      <c r="F60" t="s">
        <v>15</v>
      </c>
      <c r="G60">
        <v>333719.99004726898</v>
      </c>
      <c r="H60">
        <v>352474.34</v>
      </c>
      <c r="I60">
        <v>-18754.349952730201</v>
      </c>
      <c r="J60">
        <v>-5.3207702872016899E-2</v>
      </c>
      <c r="K60">
        <v>18754.349952730201</v>
      </c>
      <c r="L60">
        <v>5.3207702872016899E-2</v>
      </c>
    </row>
    <row r="61" spans="1:12" hidden="1" x14ac:dyDescent="0.35">
      <c r="A61" t="s">
        <v>19</v>
      </c>
      <c r="B61">
        <v>2021</v>
      </c>
      <c r="C61">
        <v>2</v>
      </c>
      <c r="D61" t="s">
        <v>13</v>
      </c>
      <c r="E61" t="s">
        <v>14</v>
      </c>
      <c r="F61" t="s">
        <v>15</v>
      </c>
      <c r="G61">
        <v>1449683.8407570301</v>
      </c>
      <c r="H61">
        <v>1677803.56</v>
      </c>
      <c r="I61">
        <v>-228119.71924296499</v>
      </c>
      <c r="J61">
        <v>-0.135963306242457</v>
      </c>
      <c r="K61">
        <v>228119.71924296499</v>
      </c>
      <c r="L61">
        <v>0.135963306242457</v>
      </c>
    </row>
    <row r="62" spans="1:12" hidden="1" x14ac:dyDescent="0.35">
      <c r="A62" t="s">
        <v>12</v>
      </c>
      <c r="B62">
        <v>2022</v>
      </c>
      <c r="C62">
        <v>2</v>
      </c>
      <c r="D62" t="s">
        <v>13</v>
      </c>
      <c r="E62" t="s">
        <v>14</v>
      </c>
      <c r="F62" t="s">
        <v>15</v>
      </c>
      <c r="G62">
        <v>1455633.32888626</v>
      </c>
      <c r="H62">
        <v>1409120</v>
      </c>
      <c r="I62">
        <v>46513.328886269097</v>
      </c>
      <c r="J62">
        <v>3.30087777380699E-2</v>
      </c>
      <c r="K62">
        <v>46513.328886269097</v>
      </c>
      <c r="L62">
        <v>3.30087777380699E-2</v>
      </c>
    </row>
    <row r="63" spans="1:12" hidden="1" x14ac:dyDescent="0.35">
      <c r="A63" t="s">
        <v>16</v>
      </c>
      <c r="B63">
        <v>2022</v>
      </c>
      <c r="C63">
        <v>2</v>
      </c>
      <c r="D63" t="s">
        <v>13</v>
      </c>
      <c r="E63" t="s">
        <v>14</v>
      </c>
      <c r="F63" t="s">
        <v>15</v>
      </c>
      <c r="G63">
        <v>843851.35641711205</v>
      </c>
      <c r="H63">
        <v>787750</v>
      </c>
      <c r="I63">
        <v>56101.3564171127</v>
      </c>
      <c r="J63">
        <v>7.1217209034735302E-2</v>
      </c>
      <c r="K63">
        <v>56101.3564171127</v>
      </c>
      <c r="L63">
        <v>7.1217209034735302E-2</v>
      </c>
    </row>
    <row r="64" spans="1:12" hidden="1" x14ac:dyDescent="0.35">
      <c r="A64" t="s">
        <v>17</v>
      </c>
      <c r="B64">
        <v>2022</v>
      </c>
      <c r="C64">
        <v>2</v>
      </c>
      <c r="D64" t="s">
        <v>13</v>
      </c>
      <c r="E64" t="s">
        <v>14</v>
      </c>
      <c r="F64" t="s">
        <v>15</v>
      </c>
      <c r="G64">
        <v>1146685.60559432</v>
      </c>
      <c r="H64">
        <v>1097033</v>
      </c>
      <c r="I64">
        <v>49652.605594328597</v>
      </c>
      <c r="J64">
        <v>4.5260813115310598E-2</v>
      </c>
      <c r="K64">
        <v>49652.605594328597</v>
      </c>
      <c r="L64">
        <v>4.5260813115310598E-2</v>
      </c>
    </row>
    <row r="65" spans="1:12" hidden="1" x14ac:dyDescent="0.35">
      <c r="A65" t="s">
        <v>18</v>
      </c>
      <c r="B65">
        <v>2022</v>
      </c>
      <c r="C65">
        <v>2</v>
      </c>
      <c r="D65" t="s">
        <v>13</v>
      </c>
      <c r="E65" t="s">
        <v>14</v>
      </c>
      <c r="F65" t="s">
        <v>15</v>
      </c>
      <c r="G65">
        <v>382388.40485470998</v>
      </c>
      <c r="H65">
        <v>363164</v>
      </c>
      <c r="I65">
        <v>19224.404854710599</v>
      </c>
      <c r="J65">
        <v>5.2935877054748302E-2</v>
      </c>
      <c r="K65">
        <v>19224.404854710599</v>
      </c>
      <c r="L65">
        <v>5.2935877054748302E-2</v>
      </c>
    </row>
    <row r="66" spans="1:12" hidden="1" x14ac:dyDescent="0.35">
      <c r="A66" t="s">
        <v>19</v>
      </c>
      <c r="B66">
        <v>2022</v>
      </c>
      <c r="C66">
        <v>2</v>
      </c>
      <c r="D66" t="s">
        <v>13</v>
      </c>
      <c r="E66" t="s">
        <v>14</v>
      </c>
      <c r="F66" t="s">
        <v>15</v>
      </c>
      <c r="G66">
        <v>1879693.8928475501</v>
      </c>
      <c r="H66">
        <v>1501498</v>
      </c>
      <c r="I66">
        <v>378195.89284755301</v>
      </c>
      <c r="J66">
        <v>0.25187905201841898</v>
      </c>
      <c r="K66">
        <v>378195.89284755301</v>
      </c>
      <c r="L66">
        <v>0.25187905201841898</v>
      </c>
    </row>
    <row r="67" spans="1:12" hidden="1" x14ac:dyDescent="0.35">
      <c r="A67" t="s">
        <v>12</v>
      </c>
      <c r="B67">
        <v>2023</v>
      </c>
      <c r="C67">
        <v>2</v>
      </c>
      <c r="D67" t="s">
        <v>13</v>
      </c>
      <c r="E67" t="s">
        <v>14</v>
      </c>
      <c r="F67" t="s">
        <v>15</v>
      </c>
      <c r="G67">
        <v>1442004.1460613799</v>
      </c>
      <c r="H67">
        <v>1521000</v>
      </c>
      <c r="I67">
        <v>-78995.853938613</v>
      </c>
      <c r="J67">
        <v>-5.1936787599351102E-2</v>
      </c>
      <c r="K67">
        <v>78995.853938613</v>
      </c>
      <c r="L67">
        <v>5.1936787599351102E-2</v>
      </c>
    </row>
    <row r="68" spans="1:12" hidden="1" x14ac:dyDescent="0.35">
      <c r="A68" t="s">
        <v>16</v>
      </c>
      <c r="B68">
        <v>2023</v>
      </c>
      <c r="C68">
        <v>2</v>
      </c>
      <c r="D68" t="s">
        <v>13</v>
      </c>
      <c r="E68" t="s">
        <v>14</v>
      </c>
      <c r="F68" t="s">
        <v>15</v>
      </c>
      <c r="G68">
        <v>877039.85932256002</v>
      </c>
      <c r="H68">
        <v>929000</v>
      </c>
      <c r="I68">
        <v>-51960.1406774399</v>
      </c>
      <c r="J68">
        <v>-5.5931260147944001E-2</v>
      </c>
      <c r="K68">
        <v>51960.1406774399</v>
      </c>
      <c r="L68">
        <v>5.5931260147944001E-2</v>
      </c>
    </row>
    <row r="69" spans="1:12" hidden="1" x14ac:dyDescent="0.35">
      <c r="A69" t="s">
        <v>17</v>
      </c>
      <c r="B69">
        <v>2023</v>
      </c>
      <c r="C69">
        <v>2</v>
      </c>
      <c r="D69" t="s">
        <v>13</v>
      </c>
      <c r="E69" t="s">
        <v>14</v>
      </c>
      <c r="F69" t="s">
        <v>15</v>
      </c>
      <c r="G69">
        <v>1173490.29647403</v>
      </c>
      <c r="H69">
        <v>1353000</v>
      </c>
      <c r="I69">
        <v>-179509.70352596499</v>
      </c>
      <c r="J69">
        <v>-0.13267531672281199</v>
      </c>
      <c r="K69">
        <v>179509.70352596499</v>
      </c>
      <c r="L69">
        <v>0.13267531672281199</v>
      </c>
    </row>
    <row r="70" spans="1:12" hidden="1" x14ac:dyDescent="0.35">
      <c r="A70" t="s">
        <v>18</v>
      </c>
      <c r="B70">
        <v>2023</v>
      </c>
      <c r="C70">
        <v>2</v>
      </c>
      <c r="D70" t="s">
        <v>13</v>
      </c>
      <c r="E70" t="s">
        <v>14</v>
      </c>
      <c r="F70" t="s">
        <v>15</v>
      </c>
      <c r="G70">
        <v>382632.86106462299</v>
      </c>
      <c r="H70">
        <v>445000</v>
      </c>
      <c r="I70">
        <v>-62367.138935376301</v>
      </c>
      <c r="J70">
        <v>-0.14015087401208101</v>
      </c>
      <c r="K70">
        <v>62367.138935376301</v>
      </c>
      <c r="L70">
        <v>0.14015087401208101</v>
      </c>
    </row>
    <row r="71" spans="1:12" hidden="1" x14ac:dyDescent="0.35">
      <c r="A71" t="s">
        <v>19</v>
      </c>
      <c r="B71">
        <v>2023</v>
      </c>
      <c r="C71">
        <v>2</v>
      </c>
      <c r="D71" t="s">
        <v>13</v>
      </c>
      <c r="E71" t="s">
        <v>14</v>
      </c>
      <c r="F71" t="s">
        <v>15</v>
      </c>
      <c r="G71">
        <v>1587246.1094543501</v>
      </c>
      <c r="H71">
        <v>1728000</v>
      </c>
      <c r="I71">
        <v>-140753.890545642</v>
      </c>
      <c r="J71">
        <v>-8.1454797769468706E-2</v>
      </c>
      <c r="K71">
        <v>140753.890545642</v>
      </c>
      <c r="L71">
        <v>8.1454797769468706E-2</v>
      </c>
    </row>
    <row r="72" spans="1:12" hidden="1" x14ac:dyDescent="0.35">
      <c r="A72" t="s">
        <v>12</v>
      </c>
      <c r="B72">
        <v>2017</v>
      </c>
      <c r="C72">
        <v>3</v>
      </c>
      <c r="D72" t="s">
        <v>13</v>
      </c>
      <c r="E72" t="s">
        <v>14</v>
      </c>
      <c r="F72" t="s">
        <v>15</v>
      </c>
      <c r="G72">
        <v>983557.42145803501</v>
      </c>
      <c r="H72">
        <v>1011269</v>
      </c>
      <c r="I72">
        <v>-27711.578541964798</v>
      </c>
      <c r="J72">
        <v>-2.7402776651874801E-2</v>
      </c>
      <c r="K72">
        <v>27711.578541964798</v>
      </c>
      <c r="L72">
        <v>2.7402776651874801E-2</v>
      </c>
    </row>
    <row r="73" spans="1:12" hidden="1" x14ac:dyDescent="0.35">
      <c r="A73" t="s">
        <v>16</v>
      </c>
      <c r="B73">
        <v>2017</v>
      </c>
      <c r="C73">
        <v>3</v>
      </c>
      <c r="D73" t="s">
        <v>13</v>
      </c>
      <c r="E73" t="s">
        <v>14</v>
      </c>
      <c r="F73" t="s">
        <v>15</v>
      </c>
      <c r="G73">
        <v>412459.96657455998</v>
      </c>
      <c r="H73">
        <v>410364</v>
      </c>
      <c r="I73">
        <v>2095.9665745609</v>
      </c>
      <c r="J73">
        <v>5.1075790628829698E-3</v>
      </c>
      <c r="K73">
        <v>2095.9665745609</v>
      </c>
      <c r="L73">
        <v>5.1075790628829698E-3</v>
      </c>
    </row>
    <row r="74" spans="1:12" hidden="1" x14ac:dyDescent="0.35">
      <c r="A74" t="s">
        <v>17</v>
      </c>
      <c r="B74">
        <v>2017</v>
      </c>
      <c r="C74">
        <v>3</v>
      </c>
      <c r="D74" t="s">
        <v>13</v>
      </c>
      <c r="E74" t="s">
        <v>14</v>
      </c>
      <c r="F74" t="s">
        <v>15</v>
      </c>
      <c r="G74">
        <v>718220.29984023096</v>
      </c>
      <c r="H74">
        <v>875484</v>
      </c>
      <c r="I74">
        <v>-157263.70015976901</v>
      </c>
      <c r="J74">
        <v>-0.17963058166656201</v>
      </c>
      <c r="K74">
        <v>157263.70015976901</v>
      </c>
      <c r="L74">
        <v>0.17963058166656201</v>
      </c>
    </row>
    <row r="75" spans="1:12" hidden="1" x14ac:dyDescent="0.35">
      <c r="A75" t="s">
        <v>18</v>
      </c>
      <c r="B75">
        <v>2017</v>
      </c>
      <c r="C75">
        <v>3</v>
      </c>
      <c r="D75" t="s">
        <v>13</v>
      </c>
      <c r="E75" t="s">
        <v>14</v>
      </c>
      <c r="F75" t="s">
        <v>15</v>
      </c>
      <c r="G75">
        <v>189746.08073305199</v>
      </c>
      <c r="H75">
        <v>215491</v>
      </c>
      <c r="I75">
        <v>-25744.919266947101</v>
      </c>
      <c r="J75">
        <v>-0.11947097218420701</v>
      </c>
      <c r="K75">
        <v>25744.919266947101</v>
      </c>
      <c r="L75">
        <v>0.11947097218420701</v>
      </c>
    </row>
    <row r="76" spans="1:12" hidden="1" x14ac:dyDescent="0.35">
      <c r="A76" t="s">
        <v>19</v>
      </c>
      <c r="B76">
        <v>2017</v>
      </c>
      <c r="C76">
        <v>3</v>
      </c>
      <c r="D76" t="s">
        <v>13</v>
      </c>
      <c r="E76" t="s">
        <v>14</v>
      </c>
      <c r="F76" t="s">
        <v>15</v>
      </c>
      <c r="G76">
        <v>817109.08631196397</v>
      </c>
      <c r="H76">
        <v>1405223</v>
      </c>
      <c r="I76">
        <v>-588113.91368803498</v>
      </c>
      <c r="J76">
        <v>-0.41851998842036803</v>
      </c>
      <c r="K76">
        <v>588113.91368803498</v>
      </c>
      <c r="L76">
        <v>0.41851998842036803</v>
      </c>
    </row>
    <row r="77" spans="1:12" hidden="1" x14ac:dyDescent="0.35">
      <c r="A77" t="s">
        <v>12</v>
      </c>
      <c r="B77">
        <v>2018</v>
      </c>
      <c r="C77">
        <v>3</v>
      </c>
      <c r="D77" t="s">
        <v>13</v>
      </c>
      <c r="E77" t="s">
        <v>14</v>
      </c>
      <c r="F77" t="s">
        <v>15</v>
      </c>
      <c r="G77">
        <v>1083462.2544151</v>
      </c>
      <c r="H77">
        <v>1206587.27</v>
      </c>
      <c r="I77">
        <v>-123125.015584896</v>
      </c>
      <c r="J77">
        <v>-0.10204402006072499</v>
      </c>
      <c r="K77">
        <v>123125.015584896</v>
      </c>
      <c r="L77">
        <v>0.10204402006072499</v>
      </c>
    </row>
    <row r="78" spans="1:12" hidden="1" x14ac:dyDescent="0.35">
      <c r="A78" t="s">
        <v>16</v>
      </c>
      <c r="B78">
        <v>2018</v>
      </c>
      <c r="C78">
        <v>3</v>
      </c>
      <c r="D78" t="s">
        <v>13</v>
      </c>
      <c r="E78" t="s">
        <v>14</v>
      </c>
      <c r="F78" t="s">
        <v>15</v>
      </c>
      <c r="G78">
        <v>426227.85942939401</v>
      </c>
      <c r="H78">
        <v>485672.51</v>
      </c>
      <c r="I78">
        <v>-59444.650570605401</v>
      </c>
      <c r="J78">
        <v>-0.122396572477625</v>
      </c>
      <c r="K78">
        <v>59444.650570605401</v>
      </c>
      <c r="L78">
        <v>0.122396572477625</v>
      </c>
    </row>
    <row r="79" spans="1:12" hidden="1" x14ac:dyDescent="0.35">
      <c r="A79" t="s">
        <v>17</v>
      </c>
      <c r="B79">
        <v>2018</v>
      </c>
      <c r="C79">
        <v>3</v>
      </c>
      <c r="D79" t="s">
        <v>13</v>
      </c>
      <c r="E79" t="s">
        <v>14</v>
      </c>
      <c r="F79" t="s">
        <v>15</v>
      </c>
      <c r="G79">
        <v>971197.87623937696</v>
      </c>
      <c r="H79">
        <v>897574.18</v>
      </c>
      <c r="I79">
        <v>73623.696239377197</v>
      </c>
      <c r="J79">
        <v>8.2025193994971199E-2</v>
      </c>
      <c r="K79">
        <v>73623.696239377197</v>
      </c>
      <c r="L79">
        <v>8.2025193994971199E-2</v>
      </c>
    </row>
    <row r="80" spans="1:12" hidden="1" x14ac:dyDescent="0.35">
      <c r="A80" t="s">
        <v>18</v>
      </c>
      <c r="B80">
        <v>2018</v>
      </c>
      <c r="C80">
        <v>3</v>
      </c>
      <c r="D80" t="s">
        <v>13</v>
      </c>
      <c r="E80" t="s">
        <v>14</v>
      </c>
      <c r="F80" t="s">
        <v>15</v>
      </c>
      <c r="G80">
        <v>225286.17821608699</v>
      </c>
      <c r="H80">
        <v>295463.11</v>
      </c>
      <c r="I80">
        <v>-70176.931783912703</v>
      </c>
      <c r="J80">
        <v>-0.237515037948096</v>
      </c>
      <c r="K80">
        <v>70176.931783912703</v>
      </c>
      <c r="L80">
        <v>0.237515037948096</v>
      </c>
    </row>
    <row r="81" spans="1:12" hidden="1" x14ac:dyDescent="0.35">
      <c r="A81" t="s">
        <v>19</v>
      </c>
      <c r="B81">
        <v>2018</v>
      </c>
      <c r="C81">
        <v>3</v>
      </c>
      <c r="D81" t="s">
        <v>13</v>
      </c>
      <c r="E81" t="s">
        <v>14</v>
      </c>
      <c r="F81" t="s">
        <v>15</v>
      </c>
      <c r="G81">
        <v>1411017.6487133</v>
      </c>
      <c r="H81">
        <v>1500588.37</v>
      </c>
      <c r="I81">
        <v>-89570.721286690503</v>
      </c>
      <c r="J81">
        <v>-5.9690400830369299E-2</v>
      </c>
      <c r="K81">
        <v>89570.721286690503</v>
      </c>
      <c r="L81">
        <v>5.9690400830369299E-2</v>
      </c>
    </row>
    <row r="82" spans="1:12" hidden="1" x14ac:dyDescent="0.35">
      <c r="A82" t="s">
        <v>12</v>
      </c>
      <c r="B82">
        <v>2019</v>
      </c>
      <c r="C82">
        <v>3</v>
      </c>
      <c r="D82" t="s">
        <v>13</v>
      </c>
      <c r="E82" t="s">
        <v>14</v>
      </c>
      <c r="F82" t="s">
        <v>15</v>
      </c>
      <c r="G82">
        <v>1227242.2772949</v>
      </c>
      <c r="H82">
        <v>1155730.28</v>
      </c>
      <c r="I82">
        <v>71511.997294905799</v>
      </c>
      <c r="J82">
        <v>6.1876026381264097E-2</v>
      </c>
      <c r="K82">
        <v>71511.997294905799</v>
      </c>
      <c r="L82">
        <v>6.1876026381264097E-2</v>
      </c>
    </row>
    <row r="83" spans="1:12" hidden="1" x14ac:dyDescent="0.35">
      <c r="A83" t="s">
        <v>16</v>
      </c>
      <c r="B83">
        <v>2019</v>
      </c>
      <c r="C83">
        <v>3</v>
      </c>
      <c r="D83" t="s">
        <v>13</v>
      </c>
      <c r="E83" t="s">
        <v>14</v>
      </c>
      <c r="F83" t="s">
        <v>15</v>
      </c>
      <c r="G83">
        <v>496304.99795896799</v>
      </c>
      <c r="H83">
        <v>530704.97</v>
      </c>
      <c r="I83">
        <v>-34399.972041031797</v>
      </c>
      <c r="J83">
        <v>-6.4819389275800096E-2</v>
      </c>
      <c r="K83">
        <v>34399.972041031797</v>
      </c>
      <c r="L83">
        <v>6.4819389275800096E-2</v>
      </c>
    </row>
    <row r="84" spans="1:12" hidden="1" x14ac:dyDescent="0.35">
      <c r="A84" t="s">
        <v>17</v>
      </c>
      <c r="B84">
        <v>2019</v>
      </c>
      <c r="C84">
        <v>3</v>
      </c>
      <c r="D84" t="s">
        <v>13</v>
      </c>
      <c r="E84" t="s">
        <v>14</v>
      </c>
      <c r="F84" t="s">
        <v>15</v>
      </c>
      <c r="G84">
        <v>845994.97890884697</v>
      </c>
      <c r="H84">
        <v>807044.07</v>
      </c>
      <c r="I84">
        <v>38950.908908847203</v>
      </c>
      <c r="J84">
        <v>4.8263670296031298E-2</v>
      </c>
      <c r="K84">
        <v>38950.908908847203</v>
      </c>
      <c r="L84">
        <v>4.8263670296031298E-2</v>
      </c>
    </row>
    <row r="85" spans="1:12" hidden="1" x14ac:dyDescent="0.35">
      <c r="A85" t="s">
        <v>18</v>
      </c>
      <c r="B85">
        <v>2019</v>
      </c>
      <c r="C85">
        <v>3</v>
      </c>
      <c r="D85" t="s">
        <v>13</v>
      </c>
      <c r="E85" t="s">
        <v>14</v>
      </c>
      <c r="F85" t="s">
        <v>15</v>
      </c>
      <c r="G85">
        <v>297328.511732521</v>
      </c>
      <c r="H85">
        <v>270168.31</v>
      </c>
      <c r="I85">
        <v>27160.2017325218</v>
      </c>
      <c r="J85">
        <v>0.10053067190789999</v>
      </c>
      <c r="K85">
        <v>27160.2017325218</v>
      </c>
      <c r="L85">
        <v>0.10053067190789999</v>
      </c>
    </row>
    <row r="86" spans="1:12" hidden="1" x14ac:dyDescent="0.35">
      <c r="A86" t="s">
        <v>19</v>
      </c>
      <c r="B86">
        <v>2019</v>
      </c>
      <c r="C86">
        <v>3</v>
      </c>
      <c r="D86" t="s">
        <v>13</v>
      </c>
      <c r="E86" t="s">
        <v>14</v>
      </c>
      <c r="F86" t="s">
        <v>15</v>
      </c>
      <c r="G86">
        <v>1432547.7925530199</v>
      </c>
      <c r="H86">
        <v>1421288.11</v>
      </c>
      <c r="I86">
        <v>11259.682553028901</v>
      </c>
      <c r="J86">
        <v>7.9221675561817698E-3</v>
      </c>
      <c r="K86">
        <v>11259.682553028901</v>
      </c>
      <c r="L86">
        <v>7.9221675561817698E-3</v>
      </c>
    </row>
    <row r="87" spans="1:12" hidden="1" x14ac:dyDescent="0.35">
      <c r="A87" t="s">
        <v>12</v>
      </c>
      <c r="B87">
        <v>2020</v>
      </c>
      <c r="C87">
        <v>3</v>
      </c>
      <c r="D87" t="s">
        <v>13</v>
      </c>
      <c r="E87" t="s">
        <v>14</v>
      </c>
      <c r="F87" t="s">
        <v>15</v>
      </c>
      <c r="G87">
        <v>1208095.46155786</v>
      </c>
      <c r="H87">
        <v>1349723.01</v>
      </c>
      <c r="I87">
        <v>-141627.54844213801</v>
      </c>
      <c r="J87">
        <v>-0.10493082461573899</v>
      </c>
      <c r="K87">
        <v>141627.54844213801</v>
      </c>
      <c r="L87">
        <v>0.10493082461573899</v>
      </c>
    </row>
    <row r="88" spans="1:12" hidden="1" x14ac:dyDescent="0.35">
      <c r="A88" t="s">
        <v>16</v>
      </c>
      <c r="B88">
        <v>2020</v>
      </c>
      <c r="C88">
        <v>3</v>
      </c>
      <c r="D88" t="s">
        <v>13</v>
      </c>
      <c r="E88" t="s">
        <v>14</v>
      </c>
      <c r="F88" t="s">
        <v>15</v>
      </c>
      <c r="G88">
        <v>584587.087239363</v>
      </c>
      <c r="H88">
        <v>761883.04</v>
      </c>
      <c r="I88">
        <v>-177295.95276063599</v>
      </c>
      <c r="J88">
        <v>-0.23270757249122601</v>
      </c>
      <c r="K88">
        <v>177295.95276063599</v>
      </c>
      <c r="L88">
        <v>0.23270757249122601</v>
      </c>
    </row>
    <row r="89" spans="1:12" hidden="1" x14ac:dyDescent="0.35">
      <c r="A89" t="s">
        <v>17</v>
      </c>
      <c r="B89">
        <v>2020</v>
      </c>
      <c r="C89">
        <v>3</v>
      </c>
      <c r="D89" t="s">
        <v>13</v>
      </c>
      <c r="E89" t="s">
        <v>14</v>
      </c>
      <c r="F89" t="s">
        <v>15</v>
      </c>
      <c r="G89">
        <v>816621.72226022696</v>
      </c>
      <c r="H89">
        <v>1144854.92</v>
      </c>
      <c r="I89">
        <v>-328233.19773977197</v>
      </c>
      <c r="J89">
        <v>-0.28670287562704599</v>
      </c>
      <c r="K89">
        <v>328233.19773977197</v>
      </c>
      <c r="L89">
        <v>0.28670287562704599</v>
      </c>
    </row>
    <row r="90" spans="1:12" hidden="1" x14ac:dyDescent="0.35">
      <c r="A90" t="s">
        <v>18</v>
      </c>
      <c r="B90">
        <v>2020</v>
      </c>
      <c r="C90">
        <v>3</v>
      </c>
      <c r="D90" t="s">
        <v>13</v>
      </c>
      <c r="E90" t="s">
        <v>14</v>
      </c>
      <c r="F90" t="s">
        <v>15</v>
      </c>
      <c r="G90">
        <v>288647.34213605401</v>
      </c>
      <c r="H90">
        <v>377322.86</v>
      </c>
      <c r="I90">
        <v>-88675.517863945104</v>
      </c>
      <c r="J90">
        <v>-0.23501231243700699</v>
      </c>
      <c r="K90">
        <v>88675.517863945104</v>
      </c>
      <c r="L90">
        <v>0.23501231243700699</v>
      </c>
    </row>
    <row r="91" spans="1:12" hidden="1" x14ac:dyDescent="0.35">
      <c r="A91" t="s">
        <v>19</v>
      </c>
      <c r="B91">
        <v>2020</v>
      </c>
      <c r="C91">
        <v>3</v>
      </c>
      <c r="D91" t="s">
        <v>13</v>
      </c>
      <c r="E91" t="s">
        <v>14</v>
      </c>
      <c r="F91" t="s">
        <v>15</v>
      </c>
      <c r="G91">
        <v>1357146.57689839</v>
      </c>
      <c r="H91">
        <v>1797486.11</v>
      </c>
      <c r="I91">
        <v>-440339.533101601</v>
      </c>
      <c r="J91">
        <v>-0.244975207681355</v>
      </c>
      <c r="K91">
        <v>440339.533101601</v>
      </c>
      <c r="L91">
        <v>0.244975207681355</v>
      </c>
    </row>
    <row r="92" spans="1:12" hidden="1" x14ac:dyDescent="0.35">
      <c r="A92" t="s">
        <v>12</v>
      </c>
      <c r="B92">
        <v>2021</v>
      </c>
      <c r="C92">
        <v>3</v>
      </c>
      <c r="D92" t="s">
        <v>13</v>
      </c>
      <c r="E92" t="s">
        <v>14</v>
      </c>
      <c r="F92" t="s">
        <v>15</v>
      </c>
      <c r="G92">
        <v>1392493.6438949199</v>
      </c>
      <c r="H92">
        <v>1382119.93</v>
      </c>
      <c r="I92">
        <v>10373.7138949295</v>
      </c>
      <c r="J92">
        <v>7.5056539376648001E-3</v>
      </c>
      <c r="K92">
        <v>10373.7138949295</v>
      </c>
      <c r="L92">
        <v>7.5056539376648001E-3</v>
      </c>
    </row>
    <row r="93" spans="1:12" hidden="1" x14ac:dyDescent="0.35">
      <c r="A93" t="s">
        <v>16</v>
      </c>
      <c r="B93">
        <v>2021</v>
      </c>
      <c r="C93">
        <v>3</v>
      </c>
      <c r="D93" t="s">
        <v>13</v>
      </c>
      <c r="E93" t="s">
        <v>14</v>
      </c>
      <c r="F93" t="s">
        <v>15</v>
      </c>
      <c r="G93">
        <v>595804.37761333305</v>
      </c>
      <c r="H93">
        <v>754620.83</v>
      </c>
      <c r="I93">
        <v>-158816.452386666</v>
      </c>
      <c r="J93">
        <v>-0.21045861189210299</v>
      </c>
      <c r="K93">
        <v>158816.452386666</v>
      </c>
      <c r="L93">
        <v>0.21045861189210299</v>
      </c>
    </row>
    <row r="94" spans="1:12" hidden="1" x14ac:dyDescent="0.35">
      <c r="A94" t="s">
        <v>17</v>
      </c>
      <c r="B94">
        <v>2021</v>
      </c>
      <c r="C94">
        <v>3</v>
      </c>
      <c r="D94" t="s">
        <v>13</v>
      </c>
      <c r="E94" t="s">
        <v>14</v>
      </c>
      <c r="F94" t="s">
        <v>15</v>
      </c>
      <c r="G94">
        <v>975078.78503789997</v>
      </c>
      <c r="H94">
        <v>1039859.75</v>
      </c>
      <c r="I94">
        <v>-64780.964962099199</v>
      </c>
      <c r="J94">
        <v>-6.2297790603107001E-2</v>
      </c>
      <c r="K94">
        <v>64780.964962099199</v>
      </c>
      <c r="L94">
        <v>6.2297790603107001E-2</v>
      </c>
    </row>
    <row r="95" spans="1:12" hidden="1" x14ac:dyDescent="0.35">
      <c r="A95" t="s">
        <v>18</v>
      </c>
      <c r="B95">
        <v>2021</v>
      </c>
      <c r="C95">
        <v>3</v>
      </c>
      <c r="D95" t="s">
        <v>13</v>
      </c>
      <c r="E95" t="s">
        <v>14</v>
      </c>
      <c r="F95" t="s">
        <v>15</v>
      </c>
      <c r="G95">
        <v>337777.50203638501</v>
      </c>
      <c r="H95">
        <v>352474.34</v>
      </c>
      <c r="I95">
        <v>-14696.8379636144</v>
      </c>
      <c r="J95">
        <v>-4.1696192589833397E-2</v>
      </c>
      <c r="K95">
        <v>14696.8379636144</v>
      </c>
      <c r="L95">
        <v>4.1696192589833397E-2</v>
      </c>
    </row>
    <row r="96" spans="1:12" hidden="1" x14ac:dyDescent="0.35">
      <c r="A96" t="s">
        <v>19</v>
      </c>
      <c r="B96">
        <v>2021</v>
      </c>
      <c r="C96">
        <v>3</v>
      </c>
      <c r="D96" t="s">
        <v>13</v>
      </c>
      <c r="E96" t="s">
        <v>14</v>
      </c>
      <c r="F96" t="s">
        <v>15</v>
      </c>
      <c r="G96">
        <v>1392992.2606790001</v>
      </c>
      <c r="H96">
        <v>1677803.56</v>
      </c>
      <c r="I96">
        <v>-284811.29932099301</v>
      </c>
      <c r="J96">
        <v>-0.16975247049838901</v>
      </c>
      <c r="K96">
        <v>284811.29932099301</v>
      </c>
      <c r="L96">
        <v>0.16975247049838901</v>
      </c>
    </row>
    <row r="97" spans="1:12" hidden="1" x14ac:dyDescent="0.35">
      <c r="A97" t="s">
        <v>12</v>
      </c>
      <c r="B97">
        <v>2022</v>
      </c>
      <c r="C97">
        <v>3</v>
      </c>
      <c r="D97" t="s">
        <v>13</v>
      </c>
      <c r="E97" t="s">
        <v>14</v>
      </c>
      <c r="F97" t="s">
        <v>15</v>
      </c>
      <c r="G97">
        <v>1446655.5834416701</v>
      </c>
      <c r="H97">
        <v>1409120</v>
      </c>
      <c r="I97">
        <v>37535.583441674898</v>
      </c>
      <c r="J97">
        <v>2.6637606053192701E-2</v>
      </c>
      <c r="K97">
        <v>37535.583441674898</v>
      </c>
      <c r="L97">
        <v>2.6637606053192701E-2</v>
      </c>
    </row>
    <row r="98" spans="1:12" hidden="1" x14ac:dyDescent="0.35">
      <c r="A98" t="s">
        <v>16</v>
      </c>
      <c r="B98">
        <v>2022</v>
      </c>
      <c r="C98">
        <v>3</v>
      </c>
      <c r="D98" t="s">
        <v>13</v>
      </c>
      <c r="E98" t="s">
        <v>14</v>
      </c>
      <c r="F98" t="s">
        <v>15</v>
      </c>
      <c r="G98">
        <v>810097.84004607704</v>
      </c>
      <c r="H98">
        <v>787750</v>
      </c>
      <c r="I98">
        <v>22347.840046077799</v>
      </c>
      <c r="J98">
        <v>2.83692034859763E-2</v>
      </c>
      <c r="K98">
        <v>22347.840046077799</v>
      </c>
      <c r="L98">
        <v>2.83692034859763E-2</v>
      </c>
    </row>
    <row r="99" spans="1:12" hidden="1" x14ac:dyDescent="0.35">
      <c r="A99" t="s">
        <v>17</v>
      </c>
      <c r="B99">
        <v>2022</v>
      </c>
      <c r="C99">
        <v>3</v>
      </c>
      <c r="D99" t="s">
        <v>13</v>
      </c>
      <c r="E99" t="s">
        <v>14</v>
      </c>
      <c r="F99" t="s">
        <v>15</v>
      </c>
      <c r="G99">
        <v>1112276.3638988</v>
      </c>
      <c r="H99">
        <v>1097033</v>
      </c>
      <c r="I99">
        <v>15243.3638988044</v>
      </c>
      <c r="J99">
        <v>1.38950823710903E-2</v>
      </c>
      <c r="K99">
        <v>15243.3638988044</v>
      </c>
      <c r="L99">
        <v>1.38950823710903E-2</v>
      </c>
    </row>
    <row r="100" spans="1:12" hidden="1" x14ac:dyDescent="0.35">
      <c r="A100" t="s">
        <v>18</v>
      </c>
      <c r="B100">
        <v>2022</v>
      </c>
      <c r="C100">
        <v>3</v>
      </c>
      <c r="D100" t="s">
        <v>13</v>
      </c>
      <c r="E100" t="s">
        <v>14</v>
      </c>
      <c r="F100" t="s">
        <v>15</v>
      </c>
      <c r="G100">
        <v>368896.77111803403</v>
      </c>
      <c r="H100">
        <v>363164</v>
      </c>
      <c r="I100">
        <v>5732.7711180342503</v>
      </c>
      <c r="J100">
        <v>1.5785626102901799E-2</v>
      </c>
      <c r="K100">
        <v>5732.7711180342503</v>
      </c>
      <c r="L100">
        <v>1.5785626102901799E-2</v>
      </c>
    </row>
    <row r="101" spans="1:12" hidden="1" x14ac:dyDescent="0.35">
      <c r="A101" t="s">
        <v>19</v>
      </c>
      <c r="B101">
        <v>2022</v>
      </c>
      <c r="C101">
        <v>3</v>
      </c>
      <c r="D101" t="s">
        <v>13</v>
      </c>
      <c r="E101" t="s">
        <v>14</v>
      </c>
      <c r="F101" t="s">
        <v>15</v>
      </c>
      <c r="G101">
        <v>1850267.1070901901</v>
      </c>
      <c r="H101">
        <v>1501498</v>
      </c>
      <c r="I101">
        <v>348769.10709019098</v>
      </c>
      <c r="J101">
        <v>0.23228076700081601</v>
      </c>
      <c r="K101">
        <v>348769.10709019098</v>
      </c>
      <c r="L101">
        <v>0.23228076700081601</v>
      </c>
    </row>
    <row r="102" spans="1:12" hidden="1" x14ac:dyDescent="0.35">
      <c r="A102" t="s">
        <v>12</v>
      </c>
      <c r="B102">
        <v>2023</v>
      </c>
      <c r="C102">
        <v>3</v>
      </c>
      <c r="D102" t="s">
        <v>13</v>
      </c>
      <c r="E102" t="s">
        <v>14</v>
      </c>
      <c r="F102" t="s">
        <v>15</v>
      </c>
      <c r="G102">
        <v>1435045.8955170701</v>
      </c>
      <c r="H102">
        <v>1521000</v>
      </c>
      <c r="I102">
        <v>-85954.104482923605</v>
      </c>
      <c r="J102">
        <v>-5.6511574282001001E-2</v>
      </c>
      <c r="K102">
        <v>85954.104482923605</v>
      </c>
      <c r="L102">
        <v>5.6511574282001001E-2</v>
      </c>
    </row>
    <row r="103" spans="1:12" hidden="1" x14ac:dyDescent="0.35">
      <c r="A103" t="s">
        <v>16</v>
      </c>
      <c r="B103">
        <v>2023</v>
      </c>
      <c r="C103">
        <v>3</v>
      </c>
      <c r="D103" t="s">
        <v>13</v>
      </c>
      <c r="E103" t="s">
        <v>14</v>
      </c>
      <c r="F103" t="s">
        <v>15</v>
      </c>
      <c r="G103">
        <v>836317.39513321104</v>
      </c>
      <c r="H103">
        <v>929000</v>
      </c>
      <c r="I103">
        <v>-92682.604866788795</v>
      </c>
      <c r="J103">
        <v>-9.9765990168771607E-2</v>
      </c>
      <c r="K103">
        <v>92682.604866788795</v>
      </c>
      <c r="L103">
        <v>9.9765990168771607E-2</v>
      </c>
    </row>
    <row r="104" spans="1:12" hidden="1" x14ac:dyDescent="0.35">
      <c r="A104" t="s">
        <v>17</v>
      </c>
      <c r="B104">
        <v>2023</v>
      </c>
      <c r="C104">
        <v>3</v>
      </c>
      <c r="D104" t="s">
        <v>13</v>
      </c>
      <c r="E104" t="s">
        <v>14</v>
      </c>
      <c r="F104" t="s">
        <v>15</v>
      </c>
      <c r="G104">
        <v>1170002.55010248</v>
      </c>
      <c r="H104">
        <v>1353000</v>
      </c>
      <c r="I104">
        <v>-182997.44989751399</v>
      </c>
      <c r="J104">
        <v>-0.135253104137113</v>
      </c>
      <c r="K104">
        <v>182997.44989751399</v>
      </c>
      <c r="L104">
        <v>0.135253104137113</v>
      </c>
    </row>
    <row r="105" spans="1:12" hidden="1" x14ac:dyDescent="0.35">
      <c r="A105" t="s">
        <v>18</v>
      </c>
      <c r="B105">
        <v>2023</v>
      </c>
      <c r="C105">
        <v>3</v>
      </c>
      <c r="D105" t="s">
        <v>13</v>
      </c>
      <c r="E105" t="s">
        <v>14</v>
      </c>
      <c r="F105" t="s">
        <v>15</v>
      </c>
      <c r="G105">
        <v>361124.31627375598</v>
      </c>
      <c r="H105">
        <v>445000</v>
      </c>
      <c r="I105">
        <v>-83875.683726243893</v>
      </c>
      <c r="J105">
        <v>-0.18848468253088499</v>
      </c>
      <c r="K105">
        <v>83875.683726243893</v>
      </c>
      <c r="L105">
        <v>0.18848468253088499</v>
      </c>
    </row>
    <row r="106" spans="1:12" hidden="1" x14ac:dyDescent="0.35">
      <c r="A106" t="s">
        <v>19</v>
      </c>
      <c r="B106">
        <v>2023</v>
      </c>
      <c r="C106">
        <v>3</v>
      </c>
      <c r="D106" t="s">
        <v>13</v>
      </c>
      <c r="E106" t="s">
        <v>14</v>
      </c>
      <c r="F106" t="s">
        <v>15</v>
      </c>
      <c r="G106">
        <v>1652614.29490824</v>
      </c>
      <c r="H106">
        <v>1728000</v>
      </c>
      <c r="I106">
        <v>-75385.705091755794</v>
      </c>
      <c r="J106">
        <v>-4.3625986742914201E-2</v>
      </c>
      <c r="K106">
        <v>75385.705091755794</v>
      </c>
      <c r="L106">
        <v>4.3625986742914201E-2</v>
      </c>
    </row>
    <row r="107" spans="1:12" hidden="1" x14ac:dyDescent="0.35">
      <c r="A107" t="s">
        <v>12</v>
      </c>
      <c r="B107">
        <v>2017</v>
      </c>
      <c r="C107">
        <v>4</v>
      </c>
      <c r="D107" t="s">
        <v>13</v>
      </c>
      <c r="E107" t="s">
        <v>14</v>
      </c>
      <c r="F107" t="s">
        <v>15</v>
      </c>
      <c r="G107">
        <v>944047.43927830295</v>
      </c>
      <c r="H107">
        <v>1011269</v>
      </c>
      <c r="I107">
        <v>-67221.560721696893</v>
      </c>
      <c r="J107">
        <v>-6.6472482318450293E-2</v>
      </c>
      <c r="K107">
        <v>67221.560721696893</v>
      </c>
      <c r="L107">
        <v>6.6472482318450293E-2</v>
      </c>
    </row>
    <row r="108" spans="1:12" hidden="1" x14ac:dyDescent="0.35">
      <c r="A108" t="s">
        <v>16</v>
      </c>
      <c r="B108">
        <v>2017</v>
      </c>
      <c r="C108">
        <v>4</v>
      </c>
      <c r="D108" t="s">
        <v>13</v>
      </c>
      <c r="E108" t="s">
        <v>14</v>
      </c>
      <c r="F108" t="s">
        <v>15</v>
      </c>
      <c r="G108">
        <v>396062.58018089802</v>
      </c>
      <c r="H108">
        <v>410364</v>
      </c>
      <c r="I108">
        <v>-14301.4198191013</v>
      </c>
      <c r="J108">
        <v>-3.4850571246749999E-2</v>
      </c>
      <c r="K108">
        <v>14301.4198191013</v>
      </c>
      <c r="L108">
        <v>3.4850571246749999E-2</v>
      </c>
    </row>
    <row r="109" spans="1:12" hidden="1" x14ac:dyDescent="0.35">
      <c r="A109" t="s">
        <v>17</v>
      </c>
      <c r="B109">
        <v>2017</v>
      </c>
      <c r="C109">
        <v>4</v>
      </c>
      <c r="D109" t="s">
        <v>13</v>
      </c>
      <c r="E109" t="s">
        <v>14</v>
      </c>
      <c r="F109" t="s">
        <v>15</v>
      </c>
      <c r="G109">
        <v>661558.97464485595</v>
      </c>
      <c r="H109">
        <v>875484</v>
      </c>
      <c r="I109">
        <v>-213925.02535514301</v>
      </c>
      <c r="J109">
        <v>-0.24435058248368099</v>
      </c>
      <c r="K109">
        <v>213925.02535514301</v>
      </c>
      <c r="L109">
        <v>0.24435058248368099</v>
      </c>
    </row>
    <row r="110" spans="1:12" hidden="1" x14ac:dyDescent="0.35">
      <c r="A110" t="s">
        <v>18</v>
      </c>
      <c r="B110">
        <v>2017</v>
      </c>
      <c r="C110">
        <v>4</v>
      </c>
      <c r="D110" t="s">
        <v>13</v>
      </c>
      <c r="E110" t="s">
        <v>14</v>
      </c>
      <c r="F110" t="s">
        <v>15</v>
      </c>
      <c r="G110">
        <v>176559.87442424201</v>
      </c>
      <c r="H110">
        <v>215491</v>
      </c>
      <c r="I110">
        <v>-38931.125575757098</v>
      </c>
      <c r="J110">
        <v>-0.18066242012778699</v>
      </c>
      <c r="K110">
        <v>38931.125575757098</v>
      </c>
      <c r="L110">
        <v>0.18066242012778699</v>
      </c>
    </row>
    <row r="111" spans="1:12" hidden="1" x14ac:dyDescent="0.35">
      <c r="A111" t="s">
        <v>19</v>
      </c>
      <c r="B111">
        <v>2017</v>
      </c>
      <c r="C111">
        <v>4</v>
      </c>
      <c r="D111" t="s">
        <v>13</v>
      </c>
      <c r="E111" t="s">
        <v>14</v>
      </c>
      <c r="F111" t="s">
        <v>15</v>
      </c>
      <c r="G111">
        <v>876259.96547542501</v>
      </c>
      <c r="H111">
        <v>1405223</v>
      </c>
      <c r="I111">
        <v>-528963.03452457394</v>
      </c>
      <c r="J111">
        <v>-0.37642639959961799</v>
      </c>
      <c r="K111">
        <v>528963.03452457394</v>
      </c>
      <c r="L111">
        <v>0.37642639959961799</v>
      </c>
    </row>
    <row r="112" spans="1:12" hidden="1" x14ac:dyDescent="0.35">
      <c r="A112" t="s">
        <v>12</v>
      </c>
      <c r="B112">
        <v>2018</v>
      </c>
      <c r="C112">
        <v>4</v>
      </c>
      <c r="D112" t="s">
        <v>13</v>
      </c>
      <c r="E112" t="s">
        <v>14</v>
      </c>
      <c r="F112" t="s">
        <v>15</v>
      </c>
      <c r="G112">
        <v>1083709.3014688001</v>
      </c>
      <c r="H112">
        <v>1206587.27</v>
      </c>
      <c r="I112">
        <v>-122877.96853119299</v>
      </c>
      <c r="J112">
        <v>-0.10183927146122899</v>
      </c>
      <c r="K112">
        <v>122877.96853119299</v>
      </c>
      <c r="L112">
        <v>0.10183927146122899</v>
      </c>
    </row>
    <row r="113" spans="1:12" hidden="1" x14ac:dyDescent="0.35">
      <c r="A113" t="s">
        <v>16</v>
      </c>
      <c r="B113">
        <v>2018</v>
      </c>
      <c r="C113">
        <v>4</v>
      </c>
      <c r="D113" t="s">
        <v>13</v>
      </c>
      <c r="E113" t="s">
        <v>14</v>
      </c>
      <c r="F113" t="s">
        <v>15</v>
      </c>
      <c r="G113">
        <v>442829.99088857399</v>
      </c>
      <c r="H113">
        <v>485672.51</v>
      </c>
      <c r="I113">
        <v>-42842.5191114259</v>
      </c>
      <c r="J113">
        <v>-8.8212773482744505E-2</v>
      </c>
      <c r="K113">
        <v>42842.5191114259</v>
      </c>
      <c r="L113">
        <v>8.8212773482744505E-2</v>
      </c>
    </row>
    <row r="114" spans="1:12" hidden="1" x14ac:dyDescent="0.35">
      <c r="A114" t="s">
        <v>17</v>
      </c>
      <c r="B114">
        <v>2018</v>
      </c>
      <c r="C114">
        <v>4</v>
      </c>
      <c r="D114" t="s">
        <v>13</v>
      </c>
      <c r="E114" t="s">
        <v>14</v>
      </c>
      <c r="F114" t="s">
        <v>15</v>
      </c>
      <c r="G114">
        <v>914620.94692679704</v>
      </c>
      <c r="H114">
        <v>897574.18</v>
      </c>
      <c r="I114">
        <v>17046.766926797201</v>
      </c>
      <c r="J114">
        <v>1.89920424480093E-2</v>
      </c>
      <c r="K114">
        <v>17046.766926797201</v>
      </c>
      <c r="L114">
        <v>1.89920424480093E-2</v>
      </c>
    </row>
    <row r="115" spans="1:12" hidden="1" x14ac:dyDescent="0.35">
      <c r="A115" t="s">
        <v>18</v>
      </c>
      <c r="B115">
        <v>2018</v>
      </c>
      <c r="C115">
        <v>4</v>
      </c>
      <c r="D115" t="s">
        <v>13</v>
      </c>
      <c r="E115" t="s">
        <v>14</v>
      </c>
      <c r="F115" t="s">
        <v>15</v>
      </c>
      <c r="G115">
        <v>233396.12064797699</v>
      </c>
      <c r="H115">
        <v>295463.11</v>
      </c>
      <c r="I115">
        <v>-62066.989352022501</v>
      </c>
      <c r="J115">
        <v>-0.21006679768591899</v>
      </c>
      <c r="K115">
        <v>62066.989352022501</v>
      </c>
      <c r="L115">
        <v>0.21006679768591899</v>
      </c>
    </row>
    <row r="116" spans="1:12" hidden="1" x14ac:dyDescent="0.35">
      <c r="A116" t="s">
        <v>19</v>
      </c>
      <c r="B116">
        <v>2018</v>
      </c>
      <c r="C116">
        <v>4</v>
      </c>
      <c r="D116" t="s">
        <v>13</v>
      </c>
      <c r="E116" t="s">
        <v>14</v>
      </c>
      <c r="F116" t="s">
        <v>15</v>
      </c>
      <c r="G116">
        <v>1225981.5324343799</v>
      </c>
      <c r="H116">
        <v>1500588.37</v>
      </c>
      <c r="I116">
        <v>-274606.83756561001</v>
      </c>
      <c r="J116">
        <v>-0.18299944412178101</v>
      </c>
      <c r="K116">
        <v>274606.83756561001</v>
      </c>
      <c r="L116">
        <v>0.18299944412178101</v>
      </c>
    </row>
    <row r="117" spans="1:12" hidden="1" x14ac:dyDescent="0.35">
      <c r="A117" t="s">
        <v>12</v>
      </c>
      <c r="B117">
        <v>2019</v>
      </c>
      <c r="C117">
        <v>4</v>
      </c>
      <c r="D117" t="s">
        <v>13</v>
      </c>
      <c r="E117" t="s">
        <v>14</v>
      </c>
      <c r="F117" t="s">
        <v>15</v>
      </c>
      <c r="G117">
        <v>1268301.2840791801</v>
      </c>
      <c r="H117">
        <v>1155730.28</v>
      </c>
      <c r="I117">
        <v>112571.004079183</v>
      </c>
      <c r="J117">
        <v>9.7402487437798405E-2</v>
      </c>
      <c r="K117">
        <v>112571.004079183</v>
      </c>
      <c r="L117">
        <v>9.7402487437798405E-2</v>
      </c>
    </row>
    <row r="118" spans="1:12" hidden="1" x14ac:dyDescent="0.35">
      <c r="A118" t="s">
        <v>16</v>
      </c>
      <c r="B118">
        <v>2019</v>
      </c>
      <c r="C118">
        <v>4</v>
      </c>
      <c r="D118" t="s">
        <v>13</v>
      </c>
      <c r="E118" t="s">
        <v>14</v>
      </c>
      <c r="F118" t="s">
        <v>15</v>
      </c>
      <c r="G118">
        <v>503241.14535232203</v>
      </c>
      <c r="H118">
        <v>530704.97</v>
      </c>
      <c r="I118">
        <v>-27463.8246476776</v>
      </c>
      <c r="J118">
        <v>-5.1749703131059102E-2</v>
      </c>
      <c r="K118">
        <v>27463.8246476776</v>
      </c>
      <c r="L118">
        <v>5.1749703131059102E-2</v>
      </c>
    </row>
    <row r="119" spans="1:12" hidden="1" x14ac:dyDescent="0.35">
      <c r="A119" t="s">
        <v>17</v>
      </c>
      <c r="B119">
        <v>2019</v>
      </c>
      <c r="C119">
        <v>4</v>
      </c>
      <c r="D119" t="s">
        <v>13</v>
      </c>
      <c r="E119" t="s">
        <v>14</v>
      </c>
      <c r="F119" t="s">
        <v>15</v>
      </c>
      <c r="G119">
        <v>906932.93568495405</v>
      </c>
      <c r="H119">
        <v>807044.07</v>
      </c>
      <c r="I119">
        <v>99888.8656849541</v>
      </c>
      <c r="J119">
        <v>0.123771265285369</v>
      </c>
      <c r="K119">
        <v>99888.8656849541</v>
      </c>
      <c r="L119">
        <v>0.123771265285369</v>
      </c>
    </row>
    <row r="120" spans="1:12" hidden="1" x14ac:dyDescent="0.35">
      <c r="A120" t="s">
        <v>18</v>
      </c>
      <c r="B120">
        <v>2019</v>
      </c>
      <c r="C120">
        <v>4</v>
      </c>
      <c r="D120" t="s">
        <v>13</v>
      </c>
      <c r="E120" t="s">
        <v>14</v>
      </c>
      <c r="F120" t="s">
        <v>15</v>
      </c>
      <c r="G120">
        <v>307045.25734221499</v>
      </c>
      <c r="H120">
        <v>270168.31</v>
      </c>
      <c r="I120">
        <v>36876.9473422152</v>
      </c>
      <c r="J120">
        <v>0.13649619876666899</v>
      </c>
      <c r="K120">
        <v>36876.9473422152</v>
      </c>
      <c r="L120">
        <v>0.13649619876666899</v>
      </c>
    </row>
    <row r="121" spans="1:12" hidden="1" x14ac:dyDescent="0.35">
      <c r="A121" t="s">
        <v>19</v>
      </c>
      <c r="B121">
        <v>2019</v>
      </c>
      <c r="C121">
        <v>4</v>
      </c>
      <c r="D121" t="s">
        <v>13</v>
      </c>
      <c r="E121" t="s">
        <v>14</v>
      </c>
      <c r="F121" t="s">
        <v>15</v>
      </c>
      <c r="G121">
        <v>1459445.18406785</v>
      </c>
      <c r="H121">
        <v>1421288.11</v>
      </c>
      <c r="I121">
        <v>38157.0740678578</v>
      </c>
      <c r="J121">
        <v>2.6846825636118E-2</v>
      </c>
      <c r="K121">
        <v>38157.0740678578</v>
      </c>
      <c r="L121">
        <v>2.6846825636118E-2</v>
      </c>
    </row>
    <row r="122" spans="1:12" hidden="1" x14ac:dyDescent="0.35">
      <c r="A122" t="s">
        <v>12</v>
      </c>
      <c r="B122">
        <v>2020</v>
      </c>
      <c r="C122">
        <v>4</v>
      </c>
      <c r="D122" t="s">
        <v>13</v>
      </c>
      <c r="E122" t="s">
        <v>14</v>
      </c>
      <c r="F122" t="s">
        <v>15</v>
      </c>
      <c r="G122">
        <v>1223116.8996739399</v>
      </c>
      <c r="H122">
        <v>1349723.01</v>
      </c>
      <c r="I122">
        <v>-126606.11032604999</v>
      </c>
      <c r="J122">
        <v>-9.3801549938791098E-2</v>
      </c>
      <c r="K122">
        <v>126606.11032604999</v>
      </c>
      <c r="L122">
        <v>9.3801549938791098E-2</v>
      </c>
    </row>
    <row r="123" spans="1:12" hidden="1" x14ac:dyDescent="0.35">
      <c r="A123" t="s">
        <v>16</v>
      </c>
      <c r="B123">
        <v>2020</v>
      </c>
      <c r="C123">
        <v>4</v>
      </c>
      <c r="D123" t="s">
        <v>13</v>
      </c>
      <c r="E123" t="s">
        <v>14</v>
      </c>
      <c r="F123" t="s">
        <v>15</v>
      </c>
      <c r="G123">
        <v>573919.558515943</v>
      </c>
      <c r="H123">
        <v>761883.04</v>
      </c>
      <c r="I123">
        <v>-187963.48148405601</v>
      </c>
      <c r="J123">
        <v>-0.24670910312435301</v>
      </c>
      <c r="K123">
        <v>187963.48148405601</v>
      </c>
      <c r="L123">
        <v>0.24670910312435301</v>
      </c>
    </row>
    <row r="124" spans="1:12" hidden="1" x14ac:dyDescent="0.35">
      <c r="A124" t="s">
        <v>17</v>
      </c>
      <c r="B124">
        <v>2020</v>
      </c>
      <c r="C124">
        <v>4</v>
      </c>
      <c r="D124" t="s">
        <v>13</v>
      </c>
      <c r="E124" t="s">
        <v>14</v>
      </c>
      <c r="F124" t="s">
        <v>15</v>
      </c>
      <c r="G124">
        <v>865536.69897357398</v>
      </c>
      <c r="H124">
        <v>1144854.92</v>
      </c>
      <c r="I124">
        <v>-279318.22102642502</v>
      </c>
      <c r="J124">
        <v>-0.24397695825635701</v>
      </c>
      <c r="K124">
        <v>279318.22102642502</v>
      </c>
      <c r="L124">
        <v>0.24397695825635701</v>
      </c>
    </row>
    <row r="125" spans="1:12" hidden="1" x14ac:dyDescent="0.35">
      <c r="A125" t="s">
        <v>18</v>
      </c>
      <c r="B125">
        <v>2020</v>
      </c>
      <c r="C125">
        <v>4</v>
      </c>
      <c r="D125" t="s">
        <v>13</v>
      </c>
      <c r="E125" t="s">
        <v>14</v>
      </c>
      <c r="F125" t="s">
        <v>15</v>
      </c>
      <c r="G125">
        <v>287500.30508653203</v>
      </c>
      <c r="H125">
        <v>377322.86</v>
      </c>
      <c r="I125">
        <v>-89822.554913467</v>
      </c>
      <c r="J125">
        <v>-0.23805224765196301</v>
      </c>
      <c r="K125">
        <v>89822.554913467</v>
      </c>
      <c r="L125">
        <v>0.23805224765196301</v>
      </c>
    </row>
    <row r="126" spans="1:12" hidden="1" x14ac:dyDescent="0.35">
      <c r="A126" t="s">
        <v>19</v>
      </c>
      <c r="B126">
        <v>2020</v>
      </c>
      <c r="C126">
        <v>4</v>
      </c>
      <c r="D126" t="s">
        <v>13</v>
      </c>
      <c r="E126" t="s">
        <v>14</v>
      </c>
      <c r="F126" t="s">
        <v>15</v>
      </c>
      <c r="G126">
        <v>1497645.1539916899</v>
      </c>
      <c r="H126">
        <v>1797486.11</v>
      </c>
      <c r="I126">
        <v>-299840.95600830799</v>
      </c>
      <c r="J126">
        <v>-0.166811278451719</v>
      </c>
      <c r="K126">
        <v>299840.95600830799</v>
      </c>
      <c r="L126">
        <v>0.166811278451719</v>
      </c>
    </row>
    <row r="127" spans="1:12" hidden="1" x14ac:dyDescent="0.35">
      <c r="A127" t="s">
        <v>12</v>
      </c>
      <c r="B127">
        <v>2021</v>
      </c>
      <c r="C127">
        <v>4</v>
      </c>
      <c r="D127" t="s">
        <v>13</v>
      </c>
      <c r="E127" t="s">
        <v>14</v>
      </c>
      <c r="F127" t="s">
        <v>15</v>
      </c>
      <c r="G127">
        <v>1359838.15395445</v>
      </c>
      <c r="H127">
        <v>1382119.93</v>
      </c>
      <c r="I127">
        <v>-22281.776045542199</v>
      </c>
      <c r="J127">
        <v>-1.6121449059447499E-2</v>
      </c>
      <c r="K127">
        <v>22281.776045542199</v>
      </c>
      <c r="L127">
        <v>1.6121449059447499E-2</v>
      </c>
    </row>
    <row r="128" spans="1:12" hidden="1" x14ac:dyDescent="0.35">
      <c r="A128" t="s">
        <v>16</v>
      </c>
      <c r="B128">
        <v>2021</v>
      </c>
      <c r="C128">
        <v>4</v>
      </c>
      <c r="D128" t="s">
        <v>13</v>
      </c>
      <c r="E128" t="s">
        <v>14</v>
      </c>
      <c r="F128" t="s">
        <v>15</v>
      </c>
      <c r="G128">
        <v>628288.47152167198</v>
      </c>
      <c r="H128">
        <v>754620.83</v>
      </c>
      <c r="I128">
        <v>-126332.35847832701</v>
      </c>
      <c r="J128">
        <v>-0.16741170327663399</v>
      </c>
      <c r="K128">
        <v>126332.35847832701</v>
      </c>
      <c r="L128">
        <v>0.16741170327663399</v>
      </c>
    </row>
    <row r="129" spans="1:12" hidden="1" x14ac:dyDescent="0.35">
      <c r="A129" t="s">
        <v>17</v>
      </c>
      <c r="B129">
        <v>2021</v>
      </c>
      <c r="C129">
        <v>4</v>
      </c>
      <c r="D129" t="s">
        <v>13</v>
      </c>
      <c r="E129" t="s">
        <v>14</v>
      </c>
      <c r="F129" t="s">
        <v>15</v>
      </c>
      <c r="G129">
        <v>952267.24474324298</v>
      </c>
      <c r="H129">
        <v>1039859.75</v>
      </c>
      <c r="I129">
        <v>-87592.505256756704</v>
      </c>
      <c r="J129">
        <v>-8.4234922312125995E-2</v>
      </c>
      <c r="K129">
        <v>87592.505256756704</v>
      </c>
      <c r="L129">
        <v>8.4234922312125995E-2</v>
      </c>
    </row>
    <row r="130" spans="1:12" hidden="1" x14ac:dyDescent="0.35">
      <c r="A130" t="s">
        <v>18</v>
      </c>
      <c r="B130">
        <v>2021</v>
      </c>
      <c r="C130">
        <v>4</v>
      </c>
      <c r="D130" t="s">
        <v>13</v>
      </c>
      <c r="E130" t="s">
        <v>14</v>
      </c>
      <c r="F130" t="s">
        <v>15</v>
      </c>
      <c r="G130">
        <v>352921.75135391601</v>
      </c>
      <c r="H130">
        <v>352474.34</v>
      </c>
      <c r="I130">
        <v>447.41135391627898</v>
      </c>
      <c r="J130">
        <v>1.26934446892298E-3</v>
      </c>
      <c r="K130">
        <v>447.41135391627898</v>
      </c>
      <c r="L130">
        <v>1.26934446892298E-3</v>
      </c>
    </row>
    <row r="131" spans="1:12" hidden="1" x14ac:dyDescent="0.35">
      <c r="A131" t="s">
        <v>19</v>
      </c>
      <c r="B131">
        <v>2021</v>
      </c>
      <c r="C131">
        <v>4</v>
      </c>
      <c r="D131" t="s">
        <v>13</v>
      </c>
      <c r="E131" t="s">
        <v>14</v>
      </c>
      <c r="F131" t="s">
        <v>15</v>
      </c>
      <c r="G131">
        <v>1295866.79838909</v>
      </c>
      <c r="H131">
        <v>1677803.56</v>
      </c>
      <c r="I131">
        <v>-381936.76161090098</v>
      </c>
      <c r="J131">
        <v>-0.22764092931767299</v>
      </c>
      <c r="K131">
        <v>381936.76161090098</v>
      </c>
      <c r="L131">
        <v>0.22764092931767299</v>
      </c>
    </row>
    <row r="132" spans="1:12" hidden="1" x14ac:dyDescent="0.35">
      <c r="A132" t="s">
        <v>12</v>
      </c>
      <c r="B132">
        <v>2022</v>
      </c>
      <c r="C132">
        <v>4</v>
      </c>
      <c r="D132" t="s">
        <v>13</v>
      </c>
      <c r="E132" t="s">
        <v>14</v>
      </c>
      <c r="F132" t="s">
        <v>15</v>
      </c>
      <c r="G132">
        <v>1436675.3709710201</v>
      </c>
      <c r="H132">
        <v>1409120</v>
      </c>
      <c r="I132">
        <v>27555.3709710205</v>
      </c>
      <c r="J132">
        <v>1.9555020843519701E-2</v>
      </c>
      <c r="K132">
        <v>27555.3709710205</v>
      </c>
      <c r="L132">
        <v>1.9555020843519701E-2</v>
      </c>
    </row>
    <row r="133" spans="1:12" hidden="1" x14ac:dyDescent="0.35">
      <c r="A133" t="s">
        <v>16</v>
      </c>
      <c r="B133">
        <v>2022</v>
      </c>
      <c r="C133">
        <v>4</v>
      </c>
      <c r="D133" t="s">
        <v>13</v>
      </c>
      <c r="E133" t="s">
        <v>14</v>
      </c>
      <c r="F133" t="s">
        <v>15</v>
      </c>
      <c r="G133">
        <v>792811.57653046702</v>
      </c>
      <c r="H133">
        <v>787750</v>
      </c>
      <c r="I133">
        <v>5061.5765304671304</v>
      </c>
      <c r="J133">
        <v>6.4253589723479998E-3</v>
      </c>
      <c r="K133">
        <v>5061.5765304671304</v>
      </c>
      <c r="L133">
        <v>6.4253589723479998E-3</v>
      </c>
    </row>
    <row r="134" spans="1:12" hidden="1" x14ac:dyDescent="0.35">
      <c r="A134" t="s">
        <v>17</v>
      </c>
      <c r="B134">
        <v>2022</v>
      </c>
      <c r="C134">
        <v>4</v>
      </c>
      <c r="D134" t="s">
        <v>13</v>
      </c>
      <c r="E134" t="s">
        <v>14</v>
      </c>
      <c r="F134" t="s">
        <v>15</v>
      </c>
      <c r="G134">
        <v>1072683.55546601</v>
      </c>
      <c r="H134">
        <v>1097033</v>
      </c>
      <c r="I134">
        <v>-24349.444533989899</v>
      </c>
      <c r="J134">
        <v>-2.2195726595271002E-2</v>
      </c>
      <c r="K134">
        <v>24349.444533989899</v>
      </c>
      <c r="L134">
        <v>2.2195726595271002E-2</v>
      </c>
    </row>
    <row r="135" spans="1:12" hidden="1" x14ac:dyDescent="0.35">
      <c r="A135" t="s">
        <v>18</v>
      </c>
      <c r="B135">
        <v>2022</v>
      </c>
      <c r="C135">
        <v>4</v>
      </c>
      <c r="D135" t="s">
        <v>13</v>
      </c>
      <c r="E135" t="s">
        <v>14</v>
      </c>
      <c r="F135" t="s">
        <v>15</v>
      </c>
      <c r="G135">
        <v>362212.46393287001</v>
      </c>
      <c r="H135">
        <v>363164</v>
      </c>
      <c r="I135">
        <v>-951.53606712963597</v>
      </c>
      <c r="J135">
        <v>-2.6201277305284501E-3</v>
      </c>
      <c r="K135">
        <v>951.53606712963597</v>
      </c>
      <c r="L135">
        <v>2.6201277305284501E-3</v>
      </c>
    </row>
    <row r="136" spans="1:12" hidden="1" x14ac:dyDescent="0.35">
      <c r="A136" t="s">
        <v>19</v>
      </c>
      <c r="B136">
        <v>2022</v>
      </c>
      <c r="C136">
        <v>4</v>
      </c>
      <c r="D136" t="s">
        <v>13</v>
      </c>
      <c r="E136" t="s">
        <v>14</v>
      </c>
      <c r="F136" t="s">
        <v>15</v>
      </c>
      <c r="G136">
        <v>1767316.88029639</v>
      </c>
      <c r="H136">
        <v>1501498</v>
      </c>
      <c r="I136">
        <v>265818.88029639598</v>
      </c>
      <c r="J136">
        <v>0.17703578712485499</v>
      </c>
      <c r="K136">
        <v>265818.88029639598</v>
      </c>
      <c r="L136">
        <v>0.17703578712485499</v>
      </c>
    </row>
    <row r="137" spans="1:12" hidden="1" x14ac:dyDescent="0.35">
      <c r="A137" t="s">
        <v>12</v>
      </c>
      <c r="B137">
        <v>2023</v>
      </c>
      <c r="C137">
        <v>4</v>
      </c>
      <c r="D137" t="s">
        <v>13</v>
      </c>
      <c r="E137" t="s">
        <v>14</v>
      </c>
      <c r="F137" t="s">
        <v>15</v>
      </c>
      <c r="G137">
        <v>1383715.3517457701</v>
      </c>
      <c r="H137">
        <v>1521000</v>
      </c>
      <c r="I137">
        <v>-137284.64825422401</v>
      </c>
      <c r="J137">
        <v>-9.0259466307840097E-2</v>
      </c>
      <c r="K137">
        <v>137284.64825422401</v>
      </c>
      <c r="L137">
        <v>9.0259466307840097E-2</v>
      </c>
    </row>
    <row r="138" spans="1:12" hidden="1" x14ac:dyDescent="0.35">
      <c r="A138" t="s">
        <v>16</v>
      </c>
      <c r="B138">
        <v>2023</v>
      </c>
      <c r="C138">
        <v>4</v>
      </c>
      <c r="D138" t="s">
        <v>13</v>
      </c>
      <c r="E138" t="s">
        <v>14</v>
      </c>
      <c r="F138" t="s">
        <v>15</v>
      </c>
      <c r="G138">
        <v>849178.43267613801</v>
      </c>
      <c r="H138">
        <v>929000</v>
      </c>
      <c r="I138">
        <v>-79821.567323861003</v>
      </c>
      <c r="J138">
        <v>-8.5922031564974202E-2</v>
      </c>
      <c r="K138">
        <v>79821.567323861003</v>
      </c>
      <c r="L138">
        <v>8.5922031564974202E-2</v>
      </c>
    </row>
    <row r="139" spans="1:12" hidden="1" x14ac:dyDescent="0.35">
      <c r="A139" t="s">
        <v>17</v>
      </c>
      <c r="B139">
        <v>2023</v>
      </c>
      <c r="C139">
        <v>4</v>
      </c>
      <c r="D139" t="s">
        <v>13</v>
      </c>
      <c r="E139" t="s">
        <v>14</v>
      </c>
      <c r="F139" t="s">
        <v>15</v>
      </c>
      <c r="G139">
        <v>1136441.7587279701</v>
      </c>
      <c r="H139">
        <v>1353000</v>
      </c>
      <c r="I139">
        <v>-216558.24127202501</v>
      </c>
      <c r="J139">
        <v>-0.16005782799114901</v>
      </c>
      <c r="K139">
        <v>216558.24127202501</v>
      </c>
      <c r="L139">
        <v>0.16005782799114901</v>
      </c>
    </row>
    <row r="140" spans="1:12" hidden="1" x14ac:dyDescent="0.35">
      <c r="A140" t="s">
        <v>18</v>
      </c>
      <c r="B140">
        <v>2023</v>
      </c>
      <c r="C140">
        <v>4</v>
      </c>
      <c r="D140" t="s">
        <v>13</v>
      </c>
      <c r="E140" t="s">
        <v>14</v>
      </c>
      <c r="F140" t="s">
        <v>15</v>
      </c>
      <c r="G140">
        <v>350252.85605403001</v>
      </c>
      <c r="H140">
        <v>445000</v>
      </c>
      <c r="I140">
        <v>-94747.143945969496</v>
      </c>
      <c r="J140">
        <v>-0.21291493021566099</v>
      </c>
      <c r="K140">
        <v>94747.143945969496</v>
      </c>
      <c r="L140">
        <v>0.21291493021566099</v>
      </c>
    </row>
    <row r="141" spans="1:12" hidden="1" x14ac:dyDescent="0.35">
      <c r="A141" t="s">
        <v>19</v>
      </c>
      <c r="B141">
        <v>2023</v>
      </c>
      <c r="C141">
        <v>4</v>
      </c>
      <c r="D141" t="s">
        <v>13</v>
      </c>
      <c r="E141" t="s">
        <v>14</v>
      </c>
      <c r="F141" t="s">
        <v>15</v>
      </c>
      <c r="G141">
        <v>1747277.26167286</v>
      </c>
      <c r="H141">
        <v>1728000</v>
      </c>
      <c r="I141">
        <v>19277.261672869299</v>
      </c>
      <c r="J141">
        <v>1.11558227273549E-2</v>
      </c>
      <c r="K141">
        <v>19277.261672869299</v>
      </c>
      <c r="L141">
        <v>1.11558227273549E-2</v>
      </c>
    </row>
    <row r="142" spans="1:12" hidden="1" x14ac:dyDescent="0.35">
      <c r="A142" t="s">
        <v>12</v>
      </c>
      <c r="B142">
        <v>2017</v>
      </c>
      <c r="C142">
        <v>5</v>
      </c>
      <c r="D142" t="s">
        <v>13</v>
      </c>
      <c r="E142" t="s">
        <v>14</v>
      </c>
      <c r="F142" t="s">
        <v>15</v>
      </c>
      <c r="G142">
        <v>947983.52712473494</v>
      </c>
      <c r="H142">
        <v>1011269</v>
      </c>
      <c r="I142">
        <v>-63285.472875264299</v>
      </c>
      <c r="J142">
        <v>-6.2580255970730095E-2</v>
      </c>
      <c r="K142">
        <v>63285.472875264299</v>
      </c>
      <c r="L142">
        <v>6.2580255970730095E-2</v>
      </c>
    </row>
    <row r="143" spans="1:12" hidden="1" x14ac:dyDescent="0.35">
      <c r="A143" t="s">
        <v>16</v>
      </c>
      <c r="B143">
        <v>2017</v>
      </c>
      <c r="C143">
        <v>5</v>
      </c>
      <c r="D143" t="s">
        <v>13</v>
      </c>
      <c r="E143" t="s">
        <v>14</v>
      </c>
      <c r="F143" t="s">
        <v>15</v>
      </c>
      <c r="G143">
        <v>338865.89400177798</v>
      </c>
      <c r="H143">
        <v>410364</v>
      </c>
      <c r="I143">
        <v>-71498.105998221596</v>
      </c>
      <c r="J143">
        <v>-0.17423094130630701</v>
      </c>
      <c r="K143">
        <v>71498.105998221596</v>
      </c>
      <c r="L143">
        <v>0.17423094130630701</v>
      </c>
    </row>
    <row r="144" spans="1:12" hidden="1" x14ac:dyDescent="0.35">
      <c r="A144" t="s">
        <v>17</v>
      </c>
      <c r="B144">
        <v>2017</v>
      </c>
      <c r="C144">
        <v>5</v>
      </c>
      <c r="D144" t="s">
        <v>13</v>
      </c>
      <c r="E144" t="s">
        <v>14</v>
      </c>
      <c r="F144" t="s">
        <v>15</v>
      </c>
      <c r="G144">
        <v>620482.17886151595</v>
      </c>
      <c r="H144">
        <v>875484</v>
      </c>
      <c r="I144">
        <v>-255001.82113848301</v>
      </c>
      <c r="J144">
        <v>-0.29126953906465802</v>
      </c>
      <c r="K144">
        <v>255001.82113848301</v>
      </c>
      <c r="L144">
        <v>0.29126953906465802</v>
      </c>
    </row>
    <row r="145" spans="1:12" hidden="1" x14ac:dyDescent="0.35">
      <c r="A145" t="s">
        <v>18</v>
      </c>
      <c r="B145">
        <v>2017</v>
      </c>
      <c r="C145">
        <v>5</v>
      </c>
      <c r="D145" t="s">
        <v>13</v>
      </c>
      <c r="E145" t="s">
        <v>14</v>
      </c>
      <c r="F145" t="s">
        <v>15</v>
      </c>
      <c r="G145">
        <v>162506.59649097401</v>
      </c>
      <c r="H145">
        <v>215491</v>
      </c>
      <c r="I145">
        <v>-52984.4035090252</v>
      </c>
      <c r="J145">
        <v>-0.24587757033484101</v>
      </c>
      <c r="K145">
        <v>52984.4035090252</v>
      </c>
      <c r="L145">
        <v>0.24587757033484101</v>
      </c>
    </row>
    <row r="146" spans="1:12" hidden="1" x14ac:dyDescent="0.35">
      <c r="A146" t="s">
        <v>19</v>
      </c>
      <c r="B146">
        <v>2017</v>
      </c>
      <c r="C146">
        <v>5</v>
      </c>
      <c r="D146" t="s">
        <v>13</v>
      </c>
      <c r="E146" t="s">
        <v>14</v>
      </c>
      <c r="F146" t="s">
        <v>15</v>
      </c>
      <c r="G146">
        <v>662100.09377517004</v>
      </c>
      <c r="H146">
        <v>1405223</v>
      </c>
      <c r="I146">
        <v>-743122.90622482903</v>
      </c>
      <c r="J146">
        <v>-0.52882916535299296</v>
      </c>
      <c r="K146">
        <v>743122.90622482903</v>
      </c>
      <c r="L146">
        <v>0.52882916535299296</v>
      </c>
    </row>
    <row r="147" spans="1:12" hidden="1" x14ac:dyDescent="0.35">
      <c r="A147" t="s">
        <v>12</v>
      </c>
      <c r="B147">
        <v>2018</v>
      </c>
      <c r="C147">
        <v>5</v>
      </c>
      <c r="D147" t="s">
        <v>13</v>
      </c>
      <c r="E147" t="s">
        <v>14</v>
      </c>
      <c r="F147" t="s">
        <v>15</v>
      </c>
      <c r="G147">
        <v>1077659.5088857301</v>
      </c>
      <c r="H147">
        <v>1206587.27</v>
      </c>
      <c r="I147">
        <v>-128927.761114262</v>
      </c>
      <c r="J147">
        <v>-0.106853241634368</v>
      </c>
      <c r="K147">
        <v>128927.761114262</v>
      </c>
      <c r="L147">
        <v>0.106853241634368</v>
      </c>
    </row>
    <row r="148" spans="1:12" hidden="1" x14ac:dyDescent="0.35">
      <c r="A148" t="s">
        <v>16</v>
      </c>
      <c r="B148">
        <v>2018</v>
      </c>
      <c r="C148">
        <v>5</v>
      </c>
      <c r="D148" t="s">
        <v>13</v>
      </c>
      <c r="E148" t="s">
        <v>14</v>
      </c>
      <c r="F148" t="s">
        <v>15</v>
      </c>
      <c r="G148">
        <v>457578.800792219</v>
      </c>
      <c r="H148">
        <v>485672.51</v>
      </c>
      <c r="I148">
        <v>-28093.709207780201</v>
      </c>
      <c r="J148">
        <v>-5.7844964722792797E-2</v>
      </c>
      <c r="K148">
        <v>28093.709207780201</v>
      </c>
      <c r="L148">
        <v>5.7844964722792797E-2</v>
      </c>
    </row>
    <row r="149" spans="1:12" hidden="1" x14ac:dyDescent="0.35">
      <c r="A149" t="s">
        <v>17</v>
      </c>
      <c r="B149">
        <v>2018</v>
      </c>
      <c r="C149">
        <v>5</v>
      </c>
      <c r="D149" t="s">
        <v>13</v>
      </c>
      <c r="E149" t="s">
        <v>14</v>
      </c>
      <c r="F149" t="s">
        <v>15</v>
      </c>
      <c r="G149">
        <v>933007.06298133999</v>
      </c>
      <c r="H149">
        <v>897574.18</v>
      </c>
      <c r="I149">
        <v>35432.882981340401</v>
      </c>
      <c r="J149">
        <v>3.9476272569850798E-2</v>
      </c>
      <c r="K149">
        <v>35432.882981340401</v>
      </c>
      <c r="L149">
        <v>3.9476272569850798E-2</v>
      </c>
    </row>
    <row r="150" spans="1:12" hidden="1" x14ac:dyDescent="0.35">
      <c r="A150" t="s">
        <v>18</v>
      </c>
      <c r="B150">
        <v>2018</v>
      </c>
      <c r="C150">
        <v>5</v>
      </c>
      <c r="D150" t="s">
        <v>13</v>
      </c>
      <c r="E150" t="s">
        <v>14</v>
      </c>
      <c r="F150" t="s">
        <v>15</v>
      </c>
      <c r="G150">
        <v>236613.91624925201</v>
      </c>
      <c r="H150">
        <v>295463.11</v>
      </c>
      <c r="I150">
        <v>-58849.193750747603</v>
      </c>
      <c r="J150">
        <v>-0.199176112885116</v>
      </c>
      <c r="K150">
        <v>58849.193750747603</v>
      </c>
      <c r="L150">
        <v>0.199176112885116</v>
      </c>
    </row>
    <row r="151" spans="1:12" hidden="1" x14ac:dyDescent="0.35">
      <c r="A151" t="s">
        <v>19</v>
      </c>
      <c r="B151">
        <v>2018</v>
      </c>
      <c r="C151">
        <v>5</v>
      </c>
      <c r="D151" t="s">
        <v>13</v>
      </c>
      <c r="E151" t="s">
        <v>14</v>
      </c>
      <c r="F151" t="s">
        <v>15</v>
      </c>
      <c r="G151">
        <v>1384002.55916141</v>
      </c>
      <c r="H151">
        <v>1500588.37</v>
      </c>
      <c r="I151">
        <v>-116585.81083858</v>
      </c>
      <c r="J151">
        <v>-7.7693398915640394E-2</v>
      </c>
      <c r="K151">
        <v>116585.81083858</v>
      </c>
      <c r="L151">
        <v>7.7693398915640394E-2</v>
      </c>
    </row>
    <row r="152" spans="1:12" hidden="1" x14ac:dyDescent="0.35">
      <c r="A152" t="s">
        <v>12</v>
      </c>
      <c r="B152">
        <v>2019</v>
      </c>
      <c r="C152">
        <v>5</v>
      </c>
      <c r="D152" t="s">
        <v>13</v>
      </c>
      <c r="E152" t="s">
        <v>14</v>
      </c>
      <c r="F152" t="s">
        <v>15</v>
      </c>
      <c r="G152">
        <v>1256188.7010747101</v>
      </c>
      <c r="H152">
        <v>1155730.28</v>
      </c>
      <c r="I152">
        <v>100458.421074718</v>
      </c>
      <c r="J152">
        <v>8.6922029138770104E-2</v>
      </c>
      <c r="K152">
        <v>100458.421074718</v>
      </c>
      <c r="L152">
        <v>8.6922029138770104E-2</v>
      </c>
    </row>
    <row r="153" spans="1:12" hidden="1" x14ac:dyDescent="0.35">
      <c r="A153" t="s">
        <v>16</v>
      </c>
      <c r="B153">
        <v>2019</v>
      </c>
      <c r="C153">
        <v>5</v>
      </c>
      <c r="D153" t="s">
        <v>13</v>
      </c>
      <c r="E153" t="s">
        <v>14</v>
      </c>
      <c r="F153" t="s">
        <v>15</v>
      </c>
      <c r="G153">
        <v>499284.760760937</v>
      </c>
      <c r="H153">
        <v>530704.97</v>
      </c>
      <c r="I153">
        <v>-31420.2092390623</v>
      </c>
      <c r="J153">
        <v>-5.92046636364877E-2</v>
      </c>
      <c r="K153">
        <v>31420.2092390623</v>
      </c>
      <c r="L153">
        <v>5.92046636364877E-2</v>
      </c>
    </row>
    <row r="154" spans="1:12" hidden="1" x14ac:dyDescent="0.35">
      <c r="A154" t="s">
        <v>17</v>
      </c>
      <c r="B154">
        <v>2019</v>
      </c>
      <c r="C154">
        <v>5</v>
      </c>
      <c r="D154" t="s">
        <v>13</v>
      </c>
      <c r="E154" t="s">
        <v>14</v>
      </c>
      <c r="F154" t="s">
        <v>15</v>
      </c>
      <c r="G154">
        <v>908769.16038056498</v>
      </c>
      <c r="H154">
        <v>807044.07</v>
      </c>
      <c r="I154">
        <v>101725.090380565</v>
      </c>
      <c r="J154">
        <v>0.12604651240491099</v>
      </c>
      <c r="K154">
        <v>101725.090380565</v>
      </c>
      <c r="L154">
        <v>0.12604651240491099</v>
      </c>
    </row>
    <row r="155" spans="1:12" hidden="1" x14ac:dyDescent="0.35">
      <c r="A155" t="s">
        <v>18</v>
      </c>
      <c r="B155">
        <v>2019</v>
      </c>
      <c r="C155">
        <v>5</v>
      </c>
      <c r="D155" t="s">
        <v>13</v>
      </c>
      <c r="E155" t="s">
        <v>14</v>
      </c>
      <c r="F155" t="s">
        <v>15</v>
      </c>
      <c r="G155">
        <v>301666.31415071402</v>
      </c>
      <c r="H155">
        <v>270168.31</v>
      </c>
      <c r="I155">
        <v>31498.0041507143</v>
      </c>
      <c r="J155">
        <v>0.116586598001498</v>
      </c>
      <c r="K155">
        <v>31498.0041507143</v>
      </c>
      <c r="L155">
        <v>0.116586598001498</v>
      </c>
    </row>
    <row r="156" spans="1:12" hidden="1" x14ac:dyDescent="0.35">
      <c r="A156" t="s">
        <v>19</v>
      </c>
      <c r="B156">
        <v>2019</v>
      </c>
      <c r="C156">
        <v>5</v>
      </c>
      <c r="D156" t="s">
        <v>13</v>
      </c>
      <c r="E156" t="s">
        <v>14</v>
      </c>
      <c r="F156" t="s">
        <v>15</v>
      </c>
      <c r="G156">
        <v>1536936.3187593699</v>
      </c>
      <c r="H156">
        <v>1421288.11</v>
      </c>
      <c r="I156">
        <v>115648.208759375</v>
      </c>
      <c r="J156">
        <v>8.1368589482800402E-2</v>
      </c>
      <c r="K156">
        <v>115648.208759375</v>
      </c>
      <c r="L156">
        <v>8.1368589482800402E-2</v>
      </c>
    </row>
    <row r="157" spans="1:12" hidden="1" x14ac:dyDescent="0.35">
      <c r="A157" t="s">
        <v>12</v>
      </c>
      <c r="B157">
        <v>2020</v>
      </c>
      <c r="C157">
        <v>5</v>
      </c>
      <c r="D157" t="s">
        <v>13</v>
      </c>
      <c r="E157" t="s">
        <v>14</v>
      </c>
      <c r="F157" t="s">
        <v>15</v>
      </c>
      <c r="G157">
        <v>1241815.34515179</v>
      </c>
      <c r="H157">
        <v>1349723.01</v>
      </c>
      <c r="I157">
        <v>-107907.664848206</v>
      </c>
      <c r="J157">
        <v>-7.9948007145707697E-2</v>
      </c>
      <c r="K157">
        <v>107907.664848206</v>
      </c>
      <c r="L157">
        <v>7.9948007145707697E-2</v>
      </c>
    </row>
    <row r="158" spans="1:12" hidden="1" x14ac:dyDescent="0.35">
      <c r="A158" t="s">
        <v>16</v>
      </c>
      <c r="B158">
        <v>2020</v>
      </c>
      <c r="C158">
        <v>5</v>
      </c>
      <c r="D158" t="s">
        <v>13</v>
      </c>
      <c r="E158" t="s">
        <v>14</v>
      </c>
      <c r="F158" t="s">
        <v>15</v>
      </c>
      <c r="G158">
        <v>580116.42083965498</v>
      </c>
      <c r="H158">
        <v>761883.04</v>
      </c>
      <c r="I158">
        <v>-181766.61916034401</v>
      </c>
      <c r="J158">
        <v>-0.238575489435155</v>
      </c>
      <c r="K158">
        <v>181766.61916034401</v>
      </c>
      <c r="L158">
        <v>0.238575489435155</v>
      </c>
    </row>
    <row r="159" spans="1:12" hidden="1" x14ac:dyDescent="0.35">
      <c r="A159" t="s">
        <v>17</v>
      </c>
      <c r="B159">
        <v>2020</v>
      </c>
      <c r="C159">
        <v>5</v>
      </c>
      <c r="D159" t="s">
        <v>13</v>
      </c>
      <c r="E159" t="s">
        <v>14</v>
      </c>
      <c r="F159" t="s">
        <v>15</v>
      </c>
      <c r="G159">
        <v>872444.85585556598</v>
      </c>
      <c r="H159">
        <v>1144854.92</v>
      </c>
      <c r="I159">
        <v>-272410.06414443301</v>
      </c>
      <c r="J159">
        <v>-0.237942868904675</v>
      </c>
      <c r="K159">
        <v>272410.06414443301</v>
      </c>
      <c r="L159">
        <v>0.237942868904675</v>
      </c>
    </row>
    <row r="160" spans="1:12" hidden="1" x14ac:dyDescent="0.35">
      <c r="A160" t="s">
        <v>18</v>
      </c>
      <c r="B160">
        <v>2020</v>
      </c>
      <c r="C160">
        <v>5</v>
      </c>
      <c r="D160" t="s">
        <v>13</v>
      </c>
      <c r="E160" t="s">
        <v>14</v>
      </c>
      <c r="F160" t="s">
        <v>15</v>
      </c>
      <c r="G160">
        <v>294131.888340801</v>
      </c>
      <c r="H160">
        <v>377322.86</v>
      </c>
      <c r="I160">
        <v>-83190.971659198796</v>
      </c>
      <c r="J160">
        <v>-0.220476892545548</v>
      </c>
      <c r="K160">
        <v>83190.971659198796</v>
      </c>
      <c r="L160">
        <v>0.220476892545548</v>
      </c>
    </row>
    <row r="161" spans="1:12" hidden="1" x14ac:dyDescent="0.35">
      <c r="A161" t="s">
        <v>19</v>
      </c>
      <c r="B161">
        <v>2020</v>
      </c>
      <c r="C161">
        <v>5</v>
      </c>
      <c r="D161" t="s">
        <v>13</v>
      </c>
      <c r="E161" t="s">
        <v>14</v>
      </c>
      <c r="F161" t="s">
        <v>15</v>
      </c>
      <c r="G161">
        <v>1436693.3102414501</v>
      </c>
      <c r="H161">
        <v>1797486.11</v>
      </c>
      <c r="I161">
        <v>-360792.79975854198</v>
      </c>
      <c r="J161">
        <v>-0.20072077205566899</v>
      </c>
      <c r="K161">
        <v>360792.79975854198</v>
      </c>
      <c r="L161">
        <v>0.20072077205566899</v>
      </c>
    </row>
    <row r="162" spans="1:12" hidden="1" x14ac:dyDescent="0.35">
      <c r="A162" t="s">
        <v>12</v>
      </c>
      <c r="B162">
        <v>2021</v>
      </c>
      <c r="C162">
        <v>5</v>
      </c>
      <c r="D162" t="s">
        <v>13</v>
      </c>
      <c r="E162" t="s">
        <v>14</v>
      </c>
      <c r="F162" t="s">
        <v>15</v>
      </c>
      <c r="G162">
        <v>1337894.3956433199</v>
      </c>
      <c r="H162">
        <v>1382119.93</v>
      </c>
      <c r="I162">
        <v>-44225.534356677599</v>
      </c>
      <c r="J162">
        <v>-3.1998333427315201E-2</v>
      </c>
      <c r="K162">
        <v>44225.534356677599</v>
      </c>
      <c r="L162">
        <v>3.1998333427315201E-2</v>
      </c>
    </row>
    <row r="163" spans="1:12" hidden="1" x14ac:dyDescent="0.35">
      <c r="A163" t="s">
        <v>16</v>
      </c>
      <c r="B163">
        <v>2021</v>
      </c>
      <c r="C163">
        <v>5</v>
      </c>
      <c r="D163" t="s">
        <v>13</v>
      </c>
      <c r="E163" t="s">
        <v>14</v>
      </c>
      <c r="F163" t="s">
        <v>15</v>
      </c>
      <c r="G163">
        <v>580701.54859960801</v>
      </c>
      <c r="H163">
        <v>754620.83</v>
      </c>
      <c r="I163">
        <v>-173919.28140039099</v>
      </c>
      <c r="J163">
        <v>-0.23047241009818301</v>
      </c>
      <c r="K163">
        <v>173919.28140039099</v>
      </c>
      <c r="L163">
        <v>0.23047241009818301</v>
      </c>
    </row>
    <row r="164" spans="1:12" hidden="1" x14ac:dyDescent="0.35">
      <c r="A164" t="s">
        <v>17</v>
      </c>
      <c r="B164">
        <v>2021</v>
      </c>
      <c r="C164">
        <v>5</v>
      </c>
      <c r="D164" t="s">
        <v>13</v>
      </c>
      <c r="E164" t="s">
        <v>14</v>
      </c>
      <c r="F164" t="s">
        <v>15</v>
      </c>
      <c r="G164">
        <v>925499.68060641806</v>
      </c>
      <c r="H164">
        <v>1039859.75</v>
      </c>
      <c r="I164">
        <v>-114360.069393581</v>
      </c>
      <c r="J164">
        <v>-0.109976436143029</v>
      </c>
      <c r="K164">
        <v>114360.069393581</v>
      </c>
      <c r="L164">
        <v>0.109976436143029</v>
      </c>
    </row>
    <row r="165" spans="1:12" hidden="1" x14ac:dyDescent="0.35">
      <c r="A165" t="s">
        <v>18</v>
      </c>
      <c r="B165">
        <v>2021</v>
      </c>
      <c r="C165">
        <v>5</v>
      </c>
      <c r="D165" t="s">
        <v>13</v>
      </c>
      <c r="E165" t="s">
        <v>14</v>
      </c>
      <c r="F165" t="s">
        <v>15</v>
      </c>
      <c r="G165">
        <v>329620.04803509498</v>
      </c>
      <c r="H165">
        <v>352474.34</v>
      </c>
      <c r="I165">
        <v>-22854.291964905002</v>
      </c>
      <c r="J165">
        <v>-6.483959077675E-2</v>
      </c>
      <c r="K165">
        <v>22854.291964905002</v>
      </c>
      <c r="L165">
        <v>6.483959077675E-2</v>
      </c>
    </row>
    <row r="166" spans="1:12" hidden="1" x14ac:dyDescent="0.35">
      <c r="A166" t="s">
        <v>19</v>
      </c>
      <c r="B166">
        <v>2021</v>
      </c>
      <c r="C166">
        <v>5</v>
      </c>
      <c r="D166" t="s">
        <v>13</v>
      </c>
      <c r="E166" t="s">
        <v>14</v>
      </c>
      <c r="F166" t="s">
        <v>15</v>
      </c>
      <c r="G166">
        <v>1352834.01038549</v>
      </c>
      <c r="H166">
        <v>1677803.56</v>
      </c>
      <c r="I166">
        <v>-324969.549614508</v>
      </c>
      <c r="J166">
        <v>-0.193687483661382</v>
      </c>
      <c r="K166">
        <v>324969.549614508</v>
      </c>
      <c r="L166">
        <v>0.193687483661382</v>
      </c>
    </row>
    <row r="167" spans="1:12" hidden="1" x14ac:dyDescent="0.35">
      <c r="A167" t="s">
        <v>12</v>
      </c>
      <c r="B167">
        <v>2022</v>
      </c>
      <c r="C167">
        <v>5</v>
      </c>
      <c r="D167" t="s">
        <v>13</v>
      </c>
      <c r="E167" t="s">
        <v>14</v>
      </c>
      <c r="F167" t="s">
        <v>15</v>
      </c>
      <c r="G167" s="4">
        <v>1442102.53488185</v>
      </c>
      <c r="H167" s="4">
        <v>1409120</v>
      </c>
      <c r="I167" s="4">
        <v>32982.5348818579</v>
      </c>
      <c r="J167" s="1">
        <v>2.3406477008244799E-2</v>
      </c>
      <c r="K167" s="2">
        <v>32982.5348818579</v>
      </c>
      <c r="L167" s="3">
        <v>2.3406477008244799E-2</v>
      </c>
    </row>
    <row r="168" spans="1:12" hidden="1" x14ac:dyDescent="0.35">
      <c r="A168" t="s">
        <v>16</v>
      </c>
      <c r="B168">
        <v>2022</v>
      </c>
      <c r="C168">
        <v>5</v>
      </c>
      <c r="D168" t="s">
        <v>13</v>
      </c>
      <c r="E168" t="s">
        <v>14</v>
      </c>
      <c r="F168" t="s">
        <v>15</v>
      </c>
      <c r="G168" s="4">
        <v>797929.37511133205</v>
      </c>
      <c r="H168" s="4">
        <v>787750</v>
      </c>
      <c r="I168" s="4">
        <v>10179.3751113322</v>
      </c>
      <c r="J168" s="1">
        <v>1.29220883672894E-2</v>
      </c>
      <c r="K168" s="2">
        <v>10179.3751113322</v>
      </c>
      <c r="L168" s="3">
        <v>1.29220883672894E-2</v>
      </c>
    </row>
    <row r="169" spans="1:12" hidden="1" x14ac:dyDescent="0.35">
      <c r="A169" t="s">
        <v>17</v>
      </c>
      <c r="B169">
        <v>2022</v>
      </c>
      <c r="C169">
        <v>5</v>
      </c>
      <c r="D169" t="s">
        <v>13</v>
      </c>
      <c r="E169" t="s">
        <v>14</v>
      </c>
      <c r="F169" t="s">
        <v>15</v>
      </c>
      <c r="G169" s="4">
        <v>1075626.8459731501</v>
      </c>
      <c r="H169" s="4">
        <v>1097033</v>
      </c>
      <c r="I169" s="4">
        <v>-21406.154026840501</v>
      </c>
      <c r="J169" s="1">
        <v>-1.9512771290235102E-2</v>
      </c>
      <c r="K169" s="2">
        <v>21406.154026840501</v>
      </c>
      <c r="L169" s="3">
        <v>1.9512771290235102E-2</v>
      </c>
    </row>
    <row r="170" spans="1:12" hidden="1" x14ac:dyDescent="0.35">
      <c r="A170" t="s">
        <v>18</v>
      </c>
      <c r="B170">
        <v>2022</v>
      </c>
      <c r="C170">
        <v>5</v>
      </c>
      <c r="D170" t="s">
        <v>13</v>
      </c>
      <c r="E170" t="s">
        <v>14</v>
      </c>
      <c r="F170" t="s">
        <v>15</v>
      </c>
      <c r="G170" s="4">
        <v>365743.46999742999</v>
      </c>
      <c r="H170" s="4">
        <v>363164</v>
      </c>
      <c r="I170" s="4">
        <v>2579.4699974303899</v>
      </c>
      <c r="J170" s="1">
        <v>7.1027689898514003E-3</v>
      </c>
      <c r="K170" s="2">
        <v>2579.4699974303899</v>
      </c>
      <c r="L170" s="3">
        <v>7.1027689898514003E-3</v>
      </c>
    </row>
    <row r="171" spans="1:12" hidden="1" x14ac:dyDescent="0.35">
      <c r="A171" t="s">
        <v>19</v>
      </c>
      <c r="B171">
        <v>2022</v>
      </c>
      <c r="C171">
        <v>5</v>
      </c>
      <c r="D171" t="s">
        <v>13</v>
      </c>
      <c r="E171" t="s">
        <v>14</v>
      </c>
      <c r="F171" t="s">
        <v>15</v>
      </c>
      <c r="G171" s="4">
        <v>1745603.3942974301</v>
      </c>
      <c r="H171" s="4">
        <v>1501498</v>
      </c>
      <c r="I171" s="4">
        <v>244105.394297436</v>
      </c>
      <c r="J171" s="1">
        <v>0.16257457172599299</v>
      </c>
      <c r="K171" s="2">
        <v>244105.394297436</v>
      </c>
      <c r="L171" s="3">
        <v>0.16257457172599299</v>
      </c>
    </row>
    <row r="172" spans="1:12" x14ac:dyDescent="0.35">
      <c r="A172" t="s">
        <v>12</v>
      </c>
      <c r="B172">
        <v>2023</v>
      </c>
      <c r="C172">
        <v>5</v>
      </c>
      <c r="D172" t="s">
        <v>13</v>
      </c>
      <c r="E172" t="s">
        <v>14</v>
      </c>
      <c r="F172" t="s">
        <v>15</v>
      </c>
      <c r="G172">
        <v>1426744.25379877</v>
      </c>
      <c r="H172">
        <v>1521000</v>
      </c>
      <c r="I172">
        <v>-94255.746201224596</v>
      </c>
      <c r="J172">
        <v>-6.1969589875887299E-2</v>
      </c>
      <c r="K172">
        <v>94255.746201224596</v>
      </c>
      <c r="L172">
        <v>6.1969589875887299E-2</v>
      </c>
    </row>
    <row r="173" spans="1:12" x14ac:dyDescent="0.35">
      <c r="A173" t="s">
        <v>16</v>
      </c>
      <c r="B173">
        <v>2023</v>
      </c>
      <c r="C173">
        <v>5</v>
      </c>
      <c r="D173" t="s">
        <v>13</v>
      </c>
      <c r="E173" t="s">
        <v>14</v>
      </c>
      <c r="F173" t="s">
        <v>15</v>
      </c>
      <c r="G173">
        <v>917561.83318960899</v>
      </c>
      <c r="H173">
        <v>929000</v>
      </c>
      <c r="I173">
        <v>-11438.166810390499</v>
      </c>
      <c r="J173">
        <v>-1.23123431758778E-2</v>
      </c>
      <c r="K173">
        <v>11438.166810390499</v>
      </c>
      <c r="L173">
        <v>1.23123431758778E-2</v>
      </c>
    </row>
    <row r="174" spans="1:12" x14ac:dyDescent="0.35">
      <c r="A174" t="s">
        <v>17</v>
      </c>
      <c r="B174">
        <v>2023</v>
      </c>
      <c r="C174">
        <v>5</v>
      </c>
      <c r="D174" t="s">
        <v>13</v>
      </c>
      <c r="E174" t="s">
        <v>14</v>
      </c>
      <c r="F174" t="s">
        <v>15</v>
      </c>
      <c r="G174">
        <v>1191624.0201697899</v>
      </c>
      <c r="H174">
        <v>1353000</v>
      </c>
      <c r="I174">
        <v>-161375.979830205</v>
      </c>
      <c r="J174">
        <v>-0.119272712365266</v>
      </c>
      <c r="K174">
        <v>161375.979830205</v>
      </c>
      <c r="L174">
        <v>0.119272712365266</v>
      </c>
    </row>
    <row r="175" spans="1:12" x14ac:dyDescent="0.35">
      <c r="A175" t="s">
        <v>18</v>
      </c>
      <c r="B175">
        <v>2023</v>
      </c>
      <c r="C175">
        <v>5</v>
      </c>
      <c r="D175" t="s">
        <v>13</v>
      </c>
      <c r="E175" t="s">
        <v>14</v>
      </c>
      <c r="F175" t="s">
        <v>15</v>
      </c>
      <c r="G175">
        <v>385564.877499444</v>
      </c>
      <c r="H175">
        <v>445000</v>
      </c>
      <c r="I175">
        <v>-59435.122500555401</v>
      </c>
      <c r="J175">
        <v>-0.13356207303495499</v>
      </c>
      <c r="K175">
        <v>59435.122500555401</v>
      </c>
      <c r="L175">
        <v>0.13356207303495499</v>
      </c>
    </row>
    <row r="176" spans="1:12" x14ac:dyDescent="0.35">
      <c r="A176" t="s">
        <v>19</v>
      </c>
      <c r="B176">
        <v>2023</v>
      </c>
      <c r="C176">
        <v>5</v>
      </c>
      <c r="D176" t="s">
        <v>13</v>
      </c>
      <c r="E176" t="s">
        <v>14</v>
      </c>
      <c r="F176" t="s">
        <v>15</v>
      </c>
      <c r="G176">
        <v>1639202.9529673699</v>
      </c>
      <c r="H176">
        <v>1728000</v>
      </c>
      <c r="I176">
        <v>-88797.047032623494</v>
      </c>
      <c r="J176">
        <v>-5.1387179995731197E-2</v>
      </c>
      <c r="K176">
        <v>88797.047032623494</v>
      </c>
      <c r="L176">
        <v>5.1387179995731197E-2</v>
      </c>
    </row>
    <row r="177" spans="1:12" hidden="1" x14ac:dyDescent="0.35">
      <c r="A177" t="s">
        <v>12</v>
      </c>
      <c r="B177">
        <v>2017</v>
      </c>
      <c r="C177">
        <v>6</v>
      </c>
      <c r="D177" t="s">
        <v>13</v>
      </c>
      <c r="E177" t="s">
        <v>14</v>
      </c>
      <c r="F177" t="s">
        <v>15</v>
      </c>
      <c r="G177">
        <v>989178.20003678196</v>
      </c>
      <c r="H177">
        <v>1011269</v>
      </c>
      <c r="I177">
        <v>-22090.799963217902</v>
      </c>
      <c r="J177">
        <v>-2.18446327962371E-2</v>
      </c>
      <c r="K177">
        <v>22090.799963217902</v>
      </c>
      <c r="L177">
        <v>2.18446327962371E-2</v>
      </c>
    </row>
    <row r="178" spans="1:12" hidden="1" x14ac:dyDescent="0.35">
      <c r="A178" t="s">
        <v>16</v>
      </c>
      <c r="B178">
        <v>2017</v>
      </c>
      <c r="C178">
        <v>6</v>
      </c>
      <c r="D178" t="s">
        <v>13</v>
      </c>
      <c r="E178" t="s">
        <v>14</v>
      </c>
      <c r="F178" t="s">
        <v>15</v>
      </c>
      <c r="G178">
        <v>417628.30630735902</v>
      </c>
      <c r="H178">
        <v>410364</v>
      </c>
      <c r="I178">
        <v>7264.3063073594203</v>
      </c>
      <c r="J178">
        <v>1.77021042473497E-2</v>
      </c>
      <c r="K178">
        <v>7264.3063073594203</v>
      </c>
      <c r="L178">
        <v>1.77021042473497E-2</v>
      </c>
    </row>
    <row r="179" spans="1:12" hidden="1" x14ac:dyDescent="0.35">
      <c r="A179" t="s">
        <v>17</v>
      </c>
      <c r="B179">
        <v>2017</v>
      </c>
      <c r="C179">
        <v>6</v>
      </c>
      <c r="D179" t="s">
        <v>13</v>
      </c>
      <c r="E179" t="s">
        <v>14</v>
      </c>
      <c r="F179" t="s">
        <v>15</v>
      </c>
      <c r="G179">
        <v>715548.15930369694</v>
      </c>
      <c r="H179">
        <v>875484</v>
      </c>
      <c r="I179">
        <v>-159935.84069630201</v>
      </c>
      <c r="J179">
        <v>-0.18268276827023899</v>
      </c>
      <c r="K179">
        <v>159935.84069630201</v>
      </c>
      <c r="L179">
        <v>0.18268276827023899</v>
      </c>
    </row>
    <row r="180" spans="1:12" hidden="1" x14ac:dyDescent="0.35">
      <c r="A180" t="s">
        <v>18</v>
      </c>
      <c r="B180">
        <v>2017</v>
      </c>
      <c r="C180">
        <v>6</v>
      </c>
      <c r="D180" t="s">
        <v>13</v>
      </c>
      <c r="E180" t="s">
        <v>14</v>
      </c>
      <c r="F180" t="s">
        <v>15</v>
      </c>
      <c r="G180">
        <v>196970.07314009199</v>
      </c>
      <c r="H180">
        <v>215491</v>
      </c>
      <c r="I180">
        <v>-18520.9268599075</v>
      </c>
      <c r="J180">
        <v>-8.5947565605559106E-2</v>
      </c>
      <c r="K180">
        <v>18520.9268599075</v>
      </c>
      <c r="L180">
        <v>8.5947565605559106E-2</v>
      </c>
    </row>
    <row r="181" spans="1:12" hidden="1" x14ac:dyDescent="0.35">
      <c r="A181" t="s">
        <v>19</v>
      </c>
      <c r="B181">
        <v>2017</v>
      </c>
      <c r="C181">
        <v>6</v>
      </c>
      <c r="D181" t="s">
        <v>13</v>
      </c>
      <c r="E181" t="s">
        <v>14</v>
      </c>
      <c r="F181" t="s">
        <v>15</v>
      </c>
      <c r="G181">
        <v>743497.24447559298</v>
      </c>
      <c r="H181">
        <v>1405223</v>
      </c>
      <c r="I181">
        <v>-661725.75552440598</v>
      </c>
      <c r="J181">
        <v>-0.47090444400953102</v>
      </c>
      <c r="K181">
        <v>661725.75552440598</v>
      </c>
      <c r="L181">
        <v>0.47090444400953102</v>
      </c>
    </row>
    <row r="182" spans="1:12" hidden="1" x14ac:dyDescent="0.35">
      <c r="A182" t="s">
        <v>12</v>
      </c>
      <c r="B182">
        <v>2018</v>
      </c>
      <c r="C182">
        <v>6</v>
      </c>
      <c r="D182" t="s">
        <v>13</v>
      </c>
      <c r="E182" t="s">
        <v>14</v>
      </c>
      <c r="F182" t="s">
        <v>15</v>
      </c>
      <c r="G182">
        <v>1058536.66170389</v>
      </c>
      <c r="H182">
        <v>1206587.27</v>
      </c>
      <c r="I182">
        <v>-148050.608296102</v>
      </c>
      <c r="J182">
        <v>-0.12270194786333399</v>
      </c>
      <c r="K182">
        <v>148050.608296102</v>
      </c>
      <c r="L182">
        <v>0.12270194786333399</v>
      </c>
    </row>
    <row r="183" spans="1:12" hidden="1" x14ac:dyDescent="0.35">
      <c r="A183" t="s">
        <v>16</v>
      </c>
      <c r="B183">
        <v>2018</v>
      </c>
      <c r="C183">
        <v>6</v>
      </c>
      <c r="D183" t="s">
        <v>13</v>
      </c>
      <c r="E183" t="s">
        <v>14</v>
      </c>
      <c r="F183" t="s">
        <v>15</v>
      </c>
      <c r="G183">
        <v>427205.20155680802</v>
      </c>
      <c r="H183">
        <v>485672.51</v>
      </c>
      <c r="I183">
        <v>-58467.308443191803</v>
      </c>
      <c r="J183">
        <v>-0.120384224429733</v>
      </c>
      <c r="K183">
        <v>58467.308443191803</v>
      </c>
      <c r="L183">
        <v>0.120384224429733</v>
      </c>
    </row>
    <row r="184" spans="1:12" hidden="1" x14ac:dyDescent="0.35">
      <c r="A184" t="s">
        <v>17</v>
      </c>
      <c r="B184">
        <v>2018</v>
      </c>
      <c r="C184">
        <v>6</v>
      </c>
      <c r="D184" t="s">
        <v>13</v>
      </c>
      <c r="E184" t="s">
        <v>14</v>
      </c>
      <c r="F184" t="s">
        <v>15</v>
      </c>
      <c r="G184">
        <v>906498.75054236001</v>
      </c>
      <c r="H184">
        <v>897574.18</v>
      </c>
      <c r="I184">
        <v>8924.5705423607706</v>
      </c>
      <c r="J184">
        <v>9.9429893831847593E-3</v>
      </c>
      <c r="K184">
        <v>8924.5705423607706</v>
      </c>
      <c r="L184">
        <v>9.9429893831847593E-3</v>
      </c>
    </row>
    <row r="185" spans="1:12" hidden="1" x14ac:dyDescent="0.35">
      <c r="A185" t="s">
        <v>18</v>
      </c>
      <c r="B185">
        <v>2018</v>
      </c>
      <c r="C185">
        <v>6</v>
      </c>
      <c r="D185" t="s">
        <v>13</v>
      </c>
      <c r="E185" t="s">
        <v>14</v>
      </c>
      <c r="F185" t="s">
        <v>15</v>
      </c>
      <c r="G185">
        <v>222893.35437279299</v>
      </c>
      <c r="H185">
        <v>295463.11</v>
      </c>
      <c r="I185">
        <v>-72569.755627206498</v>
      </c>
      <c r="J185">
        <v>-0.24561359158240201</v>
      </c>
      <c r="K185">
        <v>72569.755627206498</v>
      </c>
      <c r="L185">
        <v>0.24561359158240201</v>
      </c>
    </row>
    <row r="186" spans="1:12" hidden="1" x14ac:dyDescent="0.35">
      <c r="A186" t="s">
        <v>19</v>
      </c>
      <c r="B186">
        <v>2018</v>
      </c>
      <c r="C186">
        <v>6</v>
      </c>
      <c r="D186" t="s">
        <v>13</v>
      </c>
      <c r="E186" t="s">
        <v>14</v>
      </c>
      <c r="F186" t="s">
        <v>15</v>
      </c>
      <c r="G186">
        <v>1408300.1156022199</v>
      </c>
      <c r="H186">
        <v>1500588.37</v>
      </c>
      <c r="I186">
        <v>-92288.254397779703</v>
      </c>
      <c r="J186">
        <v>-6.1501379220858299E-2</v>
      </c>
      <c r="K186">
        <v>92288.254397779703</v>
      </c>
      <c r="L186">
        <v>6.1501379220858299E-2</v>
      </c>
    </row>
    <row r="187" spans="1:12" hidden="1" x14ac:dyDescent="0.35">
      <c r="A187" t="s">
        <v>12</v>
      </c>
      <c r="B187">
        <v>2019</v>
      </c>
      <c r="C187">
        <v>6</v>
      </c>
      <c r="D187" t="s">
        <v>13</v>
      </c>
      <c r="E187" t="s">
        <v>14</v>
      </c>
      <c r="F187" t="s">
        <v>15</v>
      </c>
      <c r="G187">
        <v>1240750.8146987499</v>
      </c>
      <c r="H187">
        <v>1155730.28</v>
      </c>
      <c r="I187">
        <v>85020.534698754695</v>
      </c>
      <c r="J187">
        <v>7.3564339509002694E-2</v>
      </c>
      <c r="K187">
        <v>85020.534698754695</v>
      </c>
      <c r="L187">
        <v>7.3564339509002694E-2</v>
      </c>
    </row>
    <row r="188" spans="1:12" hidden="1" x14ac:dyDescent="0.35">
      <c r="A188" t="s">
        <v>16</v>
      </c>
      <c r="B188">
        <v>2019</v>
      </c>
      <c r="C188">
        <v>6</v>
      </c>
      <c r="D188" t="s">
        <v>13</v>
      </c>
      <c r="E188" t="s">
        <v>14</v>
      </c>
      <c r="F188" t="s">
        <v>15</v>
      </c>
      <c r="G188">
        <v>494097.50118571601</v>
      </c>
      <c r="H188">
        <v>530704.97</v>
      </c>
      <c r="I188">
        <v>-36607.468814283297</v>
      </c>
      <c r="J188">
        <v>-6.8978944769036807E-2</v>
      </c>
      <c r="K188">
        <v>36607.468814283297</v>
      </c>
      <c r="L188">
        <v>6.8978944769036807E-2</v>
      </c>
    </row>
    <row r="189" spans="1:12" hidden="1" x14ac:dyDescent="0.35">
      <c r="A189" t="s">
        <v>17</v>
      </c>
      <c r="B189">
        <v>2019</v>
      </c>
      <c r="C189">
        <v>6</v>
      </c>
      <c r="D189" t="s">
        <v>13</v>
      </c>
      <c r="E189" t="s">
        <v>14</v>
      </c>
      <c r="F189" t="s">
        <v>15</v>
      </c>
      <c r="G189">
        <v>902164.75851895195</v>
      </c>
      <c r="H189">
        <v>807044.07</v>
      </c>
      <c r="I189">
        <v>95120.688518952898</v>
      </c>
      <c r="J189">
        <v>0.117863066039197</v>
      </c>
      <c r="K189">
        <v>95120.688518952898</v>
      </c>
      <c r="L189">
        <v>0.117863066039197</v>
      </c>
    </row>
    <row r="190" spans="1:12" hidden="1" x14ac:dyDescent="0.35">
      <c r="A190" t="s">
        <v>18</v>
      </c>
      <c r="B190">
        <v>2019</v>
      </c>
      <c r="C190">
        <v>6</v>
      </c>
      <c r="D190" t="s">
        <v>13</v>
      </c>
      <c r="E190" t="s">
        <v>14</v>
      </c>
      <c r="F190" t="s">
        <v>15</v>
      </c>
      <c r="G190">
        <v>301662.57022516697</v>
      </c>
      <c r="H190">
        <v>270168.31</v>
      </c>
      <c r="I190">
        <v>31494.2602251674</v>
      </c>
      <c r="J190">
        <v>0.116572740249096</v>
      </c>
      <c r="K190">
        <v>31494.2602251674</v>
      </c>
      <c r="L190">
        <v>0.116572740249096</v>
      </c>
    </row>
    <row r="191" spans="1:12" hidden="1" x14ac:dyDescent="0.35">
      <c r="A191" t="s">
        <v>19</v>
      </c>
      <c r="B191">
        <v>2019</v>
      </c>
      <c r="C191">
        <v>6</v>
      </c>
      <c r="D191" t="s">
        <v>13</v>
      </c>
      <c r="E191" t="s">
        <v>14</v>
      </c>
      <c r="F191" t="s">
        <v>15</v>
      </c>
      <c r="G191">
        <v>1524800.78445983</v>
      </c>
      <c r="H191">
        <v>1421288.11</v>
      </c>
      <c r="I191">
        <v>103512.674459837</v>
      </c>
      <c r="J191">
        <v>7.2830183923678807E-2</v>
      </c>
      <c r="K191">
        <v>103512.674459837</v>
      </c>
      <c r="L191">
        <v>7.2830183923678807E-2</v>
      </c>
    </row>
    <row r="192" spans="1:12" hidden="1" x14ac:dyDescent="0.35">
      <c r="A192" t="s">
        <v>12</v>
      </c>
      <c r="B192">
        <v>2020</v>
      </c>
      <c r="C192">
        <v>6</v>
      </c>
      <c r="D192" t="s">
        <v>13</v>
      </c>
      <c r="E192" t="s">
        <v>14</v>
      </c>
      <c r="F192" t="s">
        <v>15</v>
      </c>
      <c r="G192">
        <v>1238381.9452187901</v>
      </c>
      <c r="H192">
        <v>1349723.01</v>
      </c>
      <c r="I192">
        <v>-111341.064781202</v>
      </c>
      <c r="J192">
        <v>-8.2491788282695794E-2</v>
      </c>
      <c r="K192">
        <v>111341.064781202</v>
      </c>
      <c r="L192">
        <v>8.2491788282695794E-2</v>
      </c>
    </row>
    <row r="193" spans="1:12" hidden="1" x14ac:dyDescent="0.35">
      <c r="A193" t="s">
        <v>16</v>
      </c>
      <c r="B193">
        <v>2020</v>
      </c>
      <c r="C193">
        <v>6</v>
      </c>
      <c r="D193" t="s">
        <v>13</v>
      </c>
      <c r="E193" t="s">
        <v>14</v>
      </c>
      <c r="F193" t="s">
        <v>15</v>
      </c>
      <c r="G193">
        <v>557552.06468369195</v>
      </c>
      <c r="H193">
        <v>761883.04</v>
      </c>
      <c r="I193">
        <v>-204330.97531630701</v>
      </c>
      <c r="J193">
        <v>-0.26819205125803403</v>
      </c>
      <c r="K193">
        <v>204330.97531630701</v>
      </c>
      <c r="L193">
        <v>0.26819205125803403</v>
      </c>
    </row>
    <row r="194" spans="1:12" hidden="1" x14ac:dyDescent="0.35">
      <c r="A194" t="s">
        <v>17</v>
      </c>
      <c r="B194">
        <v>2020</v>
      </c>
      <c r="C194">
        <v>6</v>
      </c>
      <c r="D194" t="s">
        <v>13</v>
      </c>
      <c r="E194" t="s">
        <v>14</v>
      </c>
      <c r="F194" t="s">
        <v>15</v>
      </c>
      <c r="G194">
        <v>839017.44583112095</v>
      </c>
      <c r="H194">
        <v>1144854.92</v>
      </c>
      <c r="I194">
        <v>-305837.47416887898</v>
      </c>
      <c r="J194">
        <v>-0.26714081306378801</v>
      </c>
      <c r="K194">
        <v>305837.47416887898</v>
      </c>
      <c r="L194">
        <v>0.26714081306378801</v>
      </c>
    </row>
    <row r="195" spans="1:12" hidden="1" x14ac:dyDescent="0.35">
      <c r="A195" t="s">
        <v>18</v>
      </c>
      <c r="B195">
        <v>2020</v>
      </c>
      <c r="C195">
        <v>6</v>
      </c>
      <c r="D195" t="s">
        <v>13</v>
      </c>
      <c r="E195" t="s">
        <v>14</v>
      </c>
      <c r="F195" t="s">
        <v>15</v>
      </c>
      <c r="G195">
        <v>285887.67585695599</v>
      </c>
      <c r="H195">
        <v>377322.86</v>
      </c>
      <c r="I195">
        <v>-91435.184143043196</v>
      </c>
      <c r="J195">
        <v>-0.242326118653513</v>
      </c>
      <c r="K195">
        <v>91435.184143043196</v>
      </c>
      <c r="L195">
        <v>0.242326118653513</v>
      </c>
    </row>
    <row r="196" spans="1:12" hidden="1" x14ac:dyDescent="0.35">
      <c r="A196" t="s">
        <v>19</v>
      </c>
      <c r="B196">
        <v>2020</v>
      </c>
      <c r="C196">
        <v>6</v>
      </c>
      <c r="D196" t="s">
        <v>13</v>
      </c>
      <c r="E196" t="s">
        <v>14</v>
      </c>
      <c r="F196" t="s">
        <v>15</v>
      </c>
      <c r="G196">
        <v>1385463.2790810801</v>
      </c>
      <c r="H196">
        <v>1797486.11</v>
      </c>
      <c r="I196">
        <v>-412022.83091891702</v>
      </c>
      <c r="J196">
        <v>-0.229221705039443</v>
      </c>
      <c r="K196">
        <v>412022.83091891702</v>
      </c>
      <c r="L196">
        <v>0.229221705039443</v>
      </c>
    </row>
    <row r="197" spans="1:12" hidden="1" x14ac:dyDescent="0.35">
      <c r="A197" t="s">
        <v>12</v>
      </c>
      <c r="B197">
        <v>2021</v>
      </c>
      <c r="C197">
        <v>6</v>
      </c>
      <c r="D197" t="s">
        <v>13</v>
      </c>
      <c r="E197" t="s">
        <v>14</v>
      </c>
      <c r="F197" t="s">
        <v>15</v>
      </c>
      <c r="G197">
        <v>1371237.64421927</v>
      </c>
      <c r="H197">
        <v>1382119.93</v>
      </c>
      <c r="I197">
        <v>-10882.2857807239</v>
      </c>
      <c r="J197">
        <v>-7.8736190286496296E-3</v>
      </c>
      <c r="K197">
        <v>10882.2857807239</v>
      </c>
      <c r="L197">
        <v>7.8736190286496296E-3</v>
      </c>
    </row>
    <row r="198" spans="1:12" hidden="1" x14ac:dyDescent="0.35">
      <c r="A198" t="s">
        <v>16</v>
      </c>
      <c r="B198">
        <v>2021</v>
      </c>
      <c r="C198">
        <v>6</v>
      </c>
      <c r="D198" t="s">
        <v>13</v>
      </c>
      <c r="E198" t="s">
        <v>14</v>
      </c>
      <c r="F198" t="s">
        <v>15</v>
      </c>
      <c r="G198">
        <v>785438.51536766102</v>
      </c>
      <c r="H198">
        <v>754620.83</v>
      </c>
      <c r="I198">
        <v>30817.685367661601</v>
      </c>
      <c r="J198">
        <v>4.0838635964583203E-2</v>
      </c>
      <c r="K198">
        <v>30817.685367661601</v>
      </c>
      <c r="L198">
        <v>4.0838635964583203E-2</v>
      </c>
    </row>
    <row r="199" spans="1:12" hidden="1" x14ac:dyDescent="0.35">
      <c r="A199" t="s">
        <v>17</v>
      </c>
      <c r="B199">
        <v>2021</v>
      </c>
      <c r="C199">
        <v>6</v>
      </c>
      <c r="D199" t="s">
        <v>13</v>
      </c>
      <c r="E199" t="s">
        <v>14</v>
      </c>
      <c r="F199" t="s">
        <v>15</v>
      </c>
      <c r="G199">
        <v>1038546.56574988</v>
      </c>
      <c r="H199">
        <v>1039859.75</v>
      </c>
      <c r="I199">
        <v>-1313.1842501101701</v>
      </c>
      <c r="J199">
        <v>-1.2628474658339E-3</v>
      </c>
      <c r="K199">
        <v>1313.1842501101701</v>
      </c>
      <c r="L199">
        <v>1.2628474658339E-3</v>
      </c>
    </row>
    <row r="200" spans="1:12" hidden="1" x14ac:dyDescent="0.35">
      <c r="A200" t="s">
        <v>18</v>
      </c>
      <c r="B200">
        <v>2021</v>
      </c>
      <c r="C200">
        <v>6</v>
      </c>
      <c r="D200" t="s">
        <v>13</v>
      </c>
      <c r="E200" t="s">
        <v>14</v>
      </c>
      <c r="F200" t="s">
        <v>15</v>
      </c>
      <c r="G200">
        <v>376295.52248453302</v>
      </c>
      <c r="H200">
        <v>352474.34</v>
      </c>
      <c r="I200">
        <v>23821.1824845335</v>
      </c>
      <c r="J200">
        <v>6.7582742291349501E-2</v>
      </c>
      <c r="K200">
        <v>23821.1824845335</v>
      </c>
      <c r="L200">
        <v>6.7582742291349501E-2</v>
      </c>
    </row>
    <row r="201" spans="1:12" hidden="1" x14ac:dyDescent="0.35">
      <c r="A201" t="s">
        <v>19</v>
      </c>
      <c r="B201">
        <v>2021</v>
      </c>
      <c r="C201">
        <v>6</v>
      </c>
      <c r="D201" t="s">
        <v>13</v>
      </c>
      <c r="E201" t="s">
        <v>14</v>
      </c>
      <c r="F201" t="s">
        <v>15</v>
      </c>
      <c r="G201">
        <v>1668212.7888881001</v>
      </c>
      <c r="H201">
        <v>1677803.56</v>
      </c>
      <c r="I201">
        <v>-9590.7711118934603</v>
      </c>
      <c r="J201">
        <v>-5.71626580163739E-3</v>
      </c>
      <c r="K201">
        <v>9590.7711118934603</v>
      </c>
      <c r="L201">
        <v>5.71626580163739E-3</v>
      </c>
    </row>
    <row r="202" spans="1:12" hidden="1" x14ac:dyDescent="0.35">
      <c r="A202" t="s">
        <v>12</v>
      </c>
      <c r="B202">
        <v>2022</v>
      </c>
      <c r="C202">
        <v>6</v>
      </c>
      <c r="D202" t="s">
        <v>13</v>
      </c>
      <c r="E202" t="s">
        <v>14</v>
      </c>
      <c r="F202" t="s">
        <v>15</v>
      </c>
      <c r="G202">
        <v>1421117.35500182</v>
      </c>
      <c r="H202">
        <v>1409120</v>
      </c>
      <c r="I202">
        <v>11997.3550018244</v>
      </c>
      <c r="J202">
        <v>8.5140761623030206E-3</v>
      </c>
      <c r="K202">
        <v>11997.3550018244</v>
      </c>
      <c r="L202">
        <v>8.5140761623030206E-3</v>
      </c>
    </row>
    <row r="203" spans="1:12" hidden="1" x14ac:dyDescent="0.35">
      <c r="A203" t="s">
        <v>16</v>
      </c>
      <c r="B203">
        <v>2022</v>
      </c>
      <c r="C203">
        <v>6</v>
      </c>
      <c r="D203" t="s">
        <v>13</v>
      </c>
      <c r="E203" t="s">
        <v>14</v>
      </c>
      <c r="F203" t="s">
        <v>15</v>
      </c>
      <c r="G203">
        <v>755584.180602554</v>
      </c>
      <c r="H203">
        <v>787750</v>
      </c>
      <c r="I203">
        <v>-32165.819397445601</v>
      </c>
      <c r="J203">
        <v>-4.08325222436631E-2</v>
      </c>
      <c r="K203">
        <v>32165.819397445601</v>
      </c>
      <c r="L203">
        <v>4.08325222436631E-2</v>
      </c>
    </row>
    <row r="204" spans="1:12" hidden="1" x14ac:dyDescent="0.35">
      <c r="A204" t="s">
        <v>17</v>
      </c>
      <c r="B204">
        <v>2022</v>
      </c>
      <c r="C204">
        <v>6</v>
      </c>
      <c r="D204" t="s">
        <v>13</v>
      </c>
      <c r="E204" t="s">
        <v>14</v>
      </c>
      <c r="F204" t="s">
        <v>15</v>
      </c>
      <c r="G204">
        <v>1034305.98307812</v>
      </c>
      <c r="H204">
        <v>1097033</v>
      </c>
      <c r="I204">
        <v>-62727.016921872601</v>
      </c>
      <c r="J204">
        <v>-5.71787876224987E-2</v>
      </c>
      <c r="K204">
        <v>62727.016921872601</v>
      </c>
      <c r="L204">
        <v>5.71787876224987E-2</v>
      </c>
    </row>
    <row r="205" spans="1:12" hidden="1" x14ac:dyDescent="0.35">
      <c r="A205" t="s">
        <v>18</v>
      </c>
      <c r="B205">
        <v>2022</v>
      </c>
      <c r="C205">
        <v>6</v>
      </c>
      <c r="D205" t="s">
        <v>13</v>
      </c>
      <c r="E205" t="s">
        <v>14</v>
      </c>
      <c r="F205" t="s">
        <v>15</v>
      </c>
      <c r="G205">
        <v>357015.48326720099</v>
      </c>
      <c r="H205">
        <v>363164</v>
      </c>
      <c r="I205">
        <v>-6148.5167327980698</v>
      </c>
      <c r="J205">
        <v>-1.6930413622490301E-2</v>
      </c>
      <c r="K205">
        <v>6148.5167327980698</v>
      </c>
      <c r="L205">
        <v>1.6930413622490301E-2</v>
      </c>
    </row>
    <row r="206" spans="1:12" hidden="1" x14ac:dyDescent="0.35">
      <c r="A206" t="s">
        <v>19</v>
      </c>
      <c r="B206">
        <v>2022</v>
      </c>
      <c r="C206">
        <v>6</v>
      </c>
      <c r="D206" t="s">
        <v>13</v>
      </c>
      <c r="E206" t="s">
        <v>14</v>
      </c>
      <c r="F206" t="s">
        <v>15</v>
      </c>
      <c r="G206">
        <v>1631576.1191360599</v>
      </c>
      <c r="H206">
        <v>1501498</v>
      </c>
      <c r="I206">
        <v>130078.11913606701</v>
      </c>
      <c r="J206">
        <v>8.6632229370979502E-2</v>
      </c>
      <c r="K206">
        <v>130078.11913606701</v>
      </c>
      <c r="L206">
        <v>8.6632229370979502E-2</v>
      </c>
    </row>
    <row r="207" spans="1:12" hidden="1" x14ac:dyDescent="0.35">
      <c r="A207" t="s">
        <v>12</v>
      </c>
      <c r="B207">
        <v>2023</v>
      </c>
      <c r="C207">
        <v>6</v>
      </c>
      <c r="D207" t="s">
        <v>13</v>
      </c>
      <c r="E207" t="s">
        <v>14</v>
      </c>
      <c r="F207" t="s">
        <v>15</v>
      </c>
      <c r="G207">
        <v>1462651.8156860401</v>
      </c>
      <c r="H207">
        <v>1521000</v>
      </c>
      <c r="I207">
        <v>-58348.184313958198</v>
      </c>
      <c r="J207">
        <v>-3.8361725387217799E-2</v>
      </c>
      <c r="K207">
        <v>58348.184313958198</v>
      </c>
      <c r="L207">
        <v>3.8361725387217799E-2</v>
      </c>
    </row>
    <row r="208" spans="1:12" hidden="1" x14ac:dyDescent="0.35">
      <c r="A208" t="s">
        <v>16</v>
      </c>
      <c r="B208">
        <v>2023</v>
      </c>
      <c r="C208">
        <v>6</v>
      </c>
      <c r="D208" t="s">
        <v>13</v>
      </c>
      <c r="E208" t="s">
        <v>14</v>
      </c>
      <c r="F208" t="s">
        <v>15</v>
      </c>
      <c r="G208">
        <v>860776.91464532097</v>
      </c>
      <c r="H208">
        <v>929000</v>
      </c>
      <c r="I208">
        <v>-68223.085354678493</v>
      </c>
      <c r="J208">
        <v>-7.3437120941526907E-2</v>
      </c>
      <c r="K208">
        <v>68223.085354678493</v>
      </c>
      <c r="L208">
        <v>7.3437120941526907E-2</v>
      </c>
    </row>
    <row r="209" spans="1:12" hidden="1" x14ac:dyDescent="0.35">
      <c r="A209" t="s">
        <v>17</v>
      </c>
      <c r="B209">
        <v>2023</v>
      </c>
      <c r="C209">
        <v>6</v>
      </c>
      <c r="D209" t="s">
        <v>13</v>
      </c>
      <c r="E209" t="s">
        <v>14</v>
      </c>
      <c r="F209" t="s">
        <v>15</v>
      </c>
      <c r="G209">
        <v>1195968.8590468899</v>
      </c>
      <c r="H209">
        <v>1353000</v>
      </c>
      <c r="I209">
        <v>-157031.14095310101</v>
      </c>
      <c r="J209">
        <v>-0.116061449337103</v>
      </c>
      <c r="K209">
        <v>157031.14095310101</v>
      </c>
      <c r="L209">
        <v>0.116061449337103</v>
      </c>
    </row>
    <row r="210" spans="1:12" hidden="1" x14ac:dyDescent="0.35">
      <c r="A210" t="s">
        <v>18</v>
      </c>
      <c r="B210">
        <v>2023</v>
      </c>
      <c r="C210">
        <v>6</v>
      </c>
      <c r="D210" t="s">
        <v>13</v>
      </c>
      <c r="E210" t="s">
        <v>14</v>
      </c>
      <c r="F210" t="s">
        <v>15</v>
      </c>
      <c r="G210">
        <v>367433.54060996399</v>
      </c>
      <c r="H210">
        <v>445000</v>
      </c>
      <c r="I210">
        <v>-77566.459390035699</v>
      </c>
      <c r="J210">
        <v>-0.17430665031468701</v>
      </c>
      <c r="K210">
        <v>77566.459390035699</v>
      </c>
      <c r="L210">
        <v>0.17430665031468701</v>
      </c>
    </row>
    <row r="211" spans="1:12" hidden="1" x14ac:dyDescent="0.35">
      <c r="A211" t="s">
        <v>19</v>
      </c>
      <c r="B211">
        <v>2023</v>
      </c>
      <c r="C211">
        <v>6</v>
      </c>
      <c r="D211" t="s">
        <v>13</v>
      </c>
      <c r="E211" t="s">
        <v>14</v>
      </c>
      <c r="F211" t="s">
        <v>15</v>
      </c>
      <c r="G211">
        <v>1750644.2159712899</v>
      </c>
      <c r="H211">
        <v>1728000</v>
      </c>
      <c r="I211">
        <v>22644.2159712957</v>
      </c>
      <c r="J211">
        <v>1.31042916500553E-2</v>
      </c>
      <c r="K211">
        <v>22644.2159712957</v>
      </c>
      <c r="L211">
        <v>1.31042916500553E-2</v>
      </c>
    </row>
    <row r="212" spans="1:12" hidden="1" x14ac:dyDescent="0.35">
      <c r="A212" t="s">
        <v>12</v>
      </c>
      <c r="B212">
        <v>2017</v>
      </c>
      <c r="C212">
        <v>7</v>
      </c>
      <c r="D212" t="s">
        <v>13</v>
      </c>
      <c r="E212" t="s">
        <v>14</v>
      </c>
      <c r="F212" t="s">
        <v>15</v>
      </c>
      <c r="G212">
        <v>996080.10823862196</v>
      </c>
      <c r="H212">
        <v>1011269</v>
      </c>
      <c r="I212">
        <v>-15188.891761377899</v>
      </c>
      <c r="J212">
        <v>-1.50196354890517E-2</v>
      </c>
      <c r="K212">
        <v>15188.891761377899</v>
      </c>
      <c r="L212">
        <v>1.50196354890517E-2</v>
      </c>
    </row>
    <row r="213" spans="1:12" hidden="1" x14ac:dyDescent="0.35">
      <c r="A213" t="s">
        <v>16</v>
      </c>
      <c r="B213">
        <v>2017</v>
      </c>
      <c r="C213">
        <v>7</v>
      </c>
      <c r="D213" t="s">
        <v>13</v>
      </c>
      <c r="E213" t="s">
        <v>14</v>
      </c>
      <c r="F213" t="s">
        <v>15</v>
      </c>
      <c r="G213">
        <v>424156.840621465</v>
      </c>
      <c r="H213">
        <v>410364</v>
      </c>
      <c r="I213">
        <v>13792.840621465</v>
      </c>
      <c r="J213">
        <v>3.3611234468581698E-2</v>
      </c>
      <c r="K213">
        <v>13792.840621465</v>
      </c>
      <c r="L213">
        <v>3.3611234468581698E-2</v>
      </c>
    </row>
    <row r="214" spans="1:12" hidden="1" x14ac:dyDescent="0.35">
      <c r="A214" t="s">
        <v>17</v>
      </c>
      <c r="B214">
        <v>2017</v>
      </c>
      <c r="C214">
        <v>7</v>
      </c>
      <c r="D214" t="s">
        <v>13</v>
      </c>
      <c r="E214" t="s">
        <v>14</v>
      </c>
      <c r="F214" t="s">
        <v>15</v>
      </c>
      <c r="G214">
        <v>697067.15798850497</v>
      </c>
      <c r="H214">
        <v>875484</v>
      </c>
      <c r="I214">
        <v>-178416.84201149401</v>
      </c>
      <c r="J214">
        <v>-0.203792236079122</v>
      </c>
      <c r="K214">
        <v>178416.84201149401</v>
      </c>
      <c r="L214">
        <v>0.203792236079122</v>
      </c>
    </row>
    <row r="215" spans="1:12" hidden="1" x14ac:dyDescent="0.35">
      <c r="A215" t="s">
        <v>18</v>
      </c>
      <c r="B215">
        <v>2017</v>
      </c>
      <c r="C215">
        <v>7</v>
      </c>
      <c r="D215" t="s">
        <v>13</v>
      </c>
      <c r="E215" t="s">
        <v>14</v>
      </c>
      <c r="F215" t="s">
        <v>15</v>
      </c>
      <c r="G215">
        <v>202683.76386918899</v>
      </c>
      <c r="H215">
        <v>215491</v>
      </c>
      <c r="I215">
        <v>-12807.236130810599</v>
      </c>
      <c r="J215">
        <v>-5.9432812186173203E-2</v>
      </c>
      <c r="K215">
        <v>12807.236130810599</v>
      </c>
      <c r="L215">
        <v>5.9432812186173203E-2</v>
      </c>
    </row>
    <row r="216" spans="1:12" hidden="1" x14ac:dyDescent="0.35">
      <c r="A216" t="s">
        <v>19</v>
      </c>
      <c r="B216">
        <v>2017</v>
      </c>
      <c r="C216">
        <v>7</v>
      </c>
      <c r="D216" t="s">
        <v>13</v>
      </c>
      <c r="E216" t="s">
        <v>14</v>
      </c>
      <c r="F216" t="s">
        <v>15</v>
      </c>
      <c r="G216">
        <v>703361.490231056</v>
      </c>
      <c r="H216">
        <v>1405223</v>
      </c>
      <c r="I216">
        <v>-701861.509768944</v>
      </c>
      <c r="J216">
        <v>-0.49946628383462499</v>
      </c>
      <c r="K216">
        <v>701861.509768944</v>
      </c>
      <c r="L216">
        <v>0.49946628383462499</v>
      </c>
    </row>
    <row r="217" spans="1:12" hidden="1" x14ac:dyDescent="0.35">
      <c r="A217" t="s">
        <v>12</v>
      </c>
      <c r="B217">
        <v>2018</v>
      </c>
      <c r="C217">
        <v>7</v>
      </c>
      <c r="D217" t="s">
        <v>13</v>
      </c>
      <c r="E217" t="s">
        <v>14</v>
      </c>
      <c r="F217" t="s">
        <v>15</v>
      </c>
      <c r="G217">
        <v>1055865.58235119</v>
      </c>
      <c r="H217">
        <v>1206587.27</v>
      </c>
      <c r="I217">
        <v>-150721.68764880599</v>
      </c>
      <c r="J217">
        <v>-0.124915695197751</v>
      </c>
      <c r="K217">
        <v>150721.68764880599</v>
      </c>
      <c r="L217">
        <v>0.124915695197751</v>
      </c>
    </row>
    <row r="218" spans="1:12" hidden="1" x14ac:dyDescent="0.35">
      <c r="A218" t="s">
        <v>16</v>
      </c>
      <c r="B218">
        <v>2018</v>
      </c>
      <c r="C218">
        <v>7</v>
      </c>
      <c r="D218" t="s">
        <v>13</v>
      </c>
      <c r="E218" t="s">
        <v>14</v>
      </c>
      <c r="F218" t="s">
        <v>15</v>
      </c>
      <c r="G218">
        <v>417337.193684361</v>
      </c>
      <c r="H218">
        <v>485672.51</v>
      </c>
      <c r="I218">
        <v>-68335.316315638804</v>
      </c>
      <c r="J218">
        <v>-0.140702458773379</v>
      </c>
      <c r="K218">
        <v>68335.316315638804</v>
      </c>
      <c r="L218">
        <v>0.140702458773379</v>
      </c>
    </row>
    <row r="219" spans="1:12" hidden="1" x14ac:dyDescent="0.35">
      <c r="A219" t="s">
        <v>17</v>
      </c>
      <c r="B219">
        <v>2018</v>
      </c>
      <c r="C219">
        <v>7</v>
      </c>
      <c r="D219" t="s">
        <v>13</v>
      </c>
      <c r="E219" t="s">
        <v>14</v>
      </c>
      <c r="F219" t="s">
        <v>15</v>
      </c>
      <c r="G219">
        <v>899643.06177379005</v>
      </c>
      <c r="H219">
        <v>897574.18</v>
      </c>
      <c r="I219">
        <v>2068.88177379022</v>
      </c>
      <c r="J219">
        <v>2.30497024077745E-3</v>
      </c>
      <c r="K219">
        <v>2068.88177379022</v>
      </c>
      <c r="L219">
        <v>2.30497024077745E-3</v>
      </c>
    </row>
    <row r="220" spans="1:12" hidden="1" x14ac:dyDescent="0.35">
      <c r="A220" t="s">
        <v>18</v>
      </c>
      <c r="B220">
        <v>2018</v>
      </c>
      <c r="C220">
        <v>7</v>
      </c>
      <c r="D220" t="s">
        <v>13</v>
      </c>
      <c r="E220" t="s">
        <v>14</v>
      </c>
      <c r="F220" t="s">
        <v>15</v>
      </c>
      <c r="G220">
        <v>215206.10704132199</v>
      </c>
      <c r="H220">
        <v>295463.11</v>
      </c>
      <c r="I220">
        <v>-80257.0029586772</v>
      </c>
      <c r="J220">
        <v>-0.27163121297503801</v>
      </c>
      <c r="K220">
        <v>80257.0029586772</v>
      </c>
      <c r="L220">
        <v>0.27163121297503801</v>
      </c>
    </row>
    <row r="221" spans="1:12" hidden="1" x14ac:dyDescent="0.35">
      <c r="A221" t="s">
        <v>19</v>
      </c>
      <c r="B221">
        <v>2018</v>
      </c>
      <c r="C221">
        <v>7</v>
      </c>
      <c r="D221" t="s">
        <v>13</v>
      </c>
      <c r="E221" t="s">
        <v>14</v>
      </c>
      <c r="F221" t="s">
        <v>15</v>
      </c>
      <c r="G221">
        <v>1388888.1597352801</v>
      </c>
      <c r="H221">
        <v>1500588.37</v>
      </c>
      <c r="I221">
        <v>-111700.210264717</v>
      </c>
      <c r="J221">
        <v>-7.4437608939163902E-2</v>
      </c>
      <c r="K221">
        <v>111700.210264717</v>
      </c>
      <c r="L221">
        <v>7.4437608939163902E-2</v>
      </c>
    </row>
    <row r="222" spans="1:12" hidden="1" x14ac:dyDescent="0.35">
      <c r="A222" t="s">
        <v>12</v>
      </c>
      <c r="B222">
        <v>2019</v>
      </c>
      <c r="C222">
        <v>7</v>
      </c>
      <c r="D222" t="s">
        <v>13</v>
      </c>
      <c r="E222" t="s">
        <v>14</v>
      </c>
      <c r="F222" t="s">
        <v>15</v>
      </c>
      <c r="G222">
        <v>1144687.36356443</v>
      </c>
      <c r="H222">
        <v>1155730.28</v>
      </c>
      <c r="I222">
        <v>-11042.916435560601</v>
      </c>
      <c r="J222">
        <v>-9.5549252508644808E-3</v>
      </c>
      <c r="K222">
        <v>11042.916435560601</v>
      </c>
      <c r="L222">
        <v>9.5549252508644808E-3</v>
      </c>
    </row>
    <row r="223" spans="1:12" hidden="1" x14ac:dyDescent="0.35">
      <c r="A223" t="s">
        <v>16</v>
      </c>
      <c r="B223">
        <v>2019</v>
      </c>
      <c r="C223">
        <v>7</v>
      </c>
      <c r="D223" t="s">
        <v>13</v>
      </c>
      <c r="E223" t="s">
        <v>14</v>
      </c>
      <c r="F223" t="s">
        <v>15</v>
      </c>
      <c r="G223">
        <v>457908.32280201802</v>
      </c>
      <c r="H223">
        <v>530704.97</v>
      </c>
      <c r="I223">
        <v>-72796.647197981001</v>
      </c>
      <c r="J223">
        <v>-0.13716971069251699</v>
      </c>
      <c r="K223">
        <v>72796.647197981001</v>
      </c>
      <c r="L223">
        <v>0.13716971069251699</v>
      </c>
    </row>
    <row r="224" spans="1:12" hidden="1" x14ac:dyDescent="0.35">
      <c r="A224" t="s">
        <v>17</v>
      </c>
      <c r="B224">
        <v>2019</v>
      </c>
      <c r="C224">
        <v>7</v>
      </c>
      <c r="D224" t="s">
        <v>13</v>
      </c>
      <c r="E224" t="s">
        <v>14</v>
      </c>
      <c r="F224" t="s">
        <v>15</v>
      </c>
      <c r="G224">
        <v>793626.49291588005</v>
      </c>
      <c r="H224">
        <v>807044.07</v>
      </c>
      <c r="I224">
        <v>-13417.577084119001</v>
      </c>
      <c r="J224">
        <v>-1.66255816539474E-2</v>
      </c>
      <c r="K224">
        <v>13417.577084119001</v>
      </c>
      <c r="L224">
        <v>1.66255816539474E-2</v>
      </c>
    </row>
    <row r="225" spans="1:12" hidden="1" x14ac:dyDescent="0.35">
      <c r="A225" t="s">
        <v>18</v>
      </c>
      <c r="B225">
        <v>2019</v>
      </c>
      <c r="C225">
        <v>7</v>
      </c>
      <c r="D225" t="s">
        <v>13</v>
      </c>
      <c r="E225" t="s">
        <v>14</v>
      </c>
      <c r="F225" t="s">
        <v>15</v>
      </c>
      <c r="G225">
        <v>274330.381079568</v>
      </c>
      <c r="H225">
        <v>270168.31</v>
      </c>
      <c r="I225">
        <v>4162.07107956858</v>
      </c>
      <c r="J225">
        <v>1.54054747559718E-2</v>
      </c>
      <c r="K225">
        <v>4162.07107956858</v>
      </c>
      <c r="L225">
        <v>1.54054747559718E-2</v>
      </c>
    </row>
    <row r="226" spans="1:12" hidden="1" x14ac:dyDescent="0.35">
      <c r="A226" t="s">
        <v>19</v>
      </c>
      <c r="B226">
        <v>2019</v>
      </c>
      <c r="C226">
        <v>7</v>
      </c>
      <c r="D226" t="s">
        <v>13</v>
      </c>
      <c r="E226" t="s">
        <v>14</v>
      </c>
      <c r="F226" t="s">
        <v>15</v>
      </c>
      <c r="G226">
        <v>1428772.0740683901</v>
      </c>
      <c r="H226">
        <v>1421288.11</v>
      </c>
      <c r="I226">
        <v>7483.9640683964799</v>
      </c>
      <c r="J226">
        <v>5.26562068291451E-3</v>
      </c>
      <c r="K226">
        <v>7483.9640683964799</v>
      </c>
      <c r="L226">
        <v>5.26562068291451E-3</v>
      </c>
    </row>
    <row r="227" spans="1:12" hidden="1" x14ac:dyDescent="0.35">
      <c r="A227" t="s">
        <v>12</v>
      </c>
      <c r="B227">
        <v>2020</v>
      </c>
      <c r="C227">
        <v>7</v>
      </c>
      <c r="D227" t="s">
        <v>13</v>
      </c>
      <c r="E227" t="s">
        <v>14</v>
      </c>
      <c r="F227" t="s">
        <v>15</v>
      </c>
      <c r="G227">
        <v>1344096.84199307</v>
      </c>
      <c r="H227">
        <v>1349723.01</v>
      </c>
      <c r="I227">
        <v>-5626.1680069204804</v>
      </c>
      <c r="J227">
        <v>-4.1683871173837997E-3</v>
      </c>
      <c r="K227">
        <v>5626.1680069204804</v>
      </c>
      <c r="L227">
        <v>4.1683871173837997E-3</v>
      </c>
    </row>
    <row r="228" spans="1:12" hidden="1" x14ac:dyDescent="0.35">
      <c r="A228" t="s">
        <v>16</v>
      </c>
      <c r="B228">
        <v>2020</v>
      </c>
      <c r="C228">
        <v>7</v>
      </c>
      <c r="D228" t="s">
        <v>13</v>
      </c>
      <c r="E228" t="s">
        <v>14</v>
      </c>
      <c r="F228" t="s">
        <v>15</v>
      </c>
      <c r="G228">
        <v>631253.13140632305</v>
      </c>
      <c r="H228">
        <v>761883.04</v>
      </c>
      <c r="I228">
        <v>-130629.90859367599</v>
      </c>
      <c r="J228">
        <v>-0.17145664325810001</v>
      </c>
      <c r="K228">
        <v>130629.90859367599</v>
      </c>
      <c r="L228">
        <v>0.17145664325810001</v>
      </c>
    </row>
    <row r="229" spans="1:12" hidden="1" x14ac:dyDescent="0.35">
      <c r="A229" t="s">
        <v>17</v>
      </c>
      <c r="B229">
        <v>2020</v>
      </c>
      <c r="C229">
        <v>7</v>
      </c>
      <c r="D229" t="s">
        <v>13</v>
      </c>
      <c r="E229" t="s">
        <v>14</v>
      </c>
      <c r="F229" t="s">
        <v>15</v>
      </c>
      <c r="G229">
        <v>1035353.9493083</v>
      </c>
      <c r="H229">
        <v>1144854.92</v>
      </c>
      <c r="I229">
        <v>-109500.970691692</v>
      </c>
      <c r="J229">
        <v>-9.5646154616422702E-2</v>
      </c>
      <c r="K229">
        <v>109500.970691692</v>
      </c>
      <c r="L229">
        <v>9.5646154616422702E-2</v>
      </c>
    </row>
    <row r="230" spans="1:12" hidden="1" x14ac:dyDescent="0.35">
      <c r="A230" t="s">
        <v>18</v>
      </c>
      <c r="B230">
        <v>2020</v>
      </c>
      <c r="C230">
        <v>7</v>
      </c>
      <c r="D230" t="s">
        <v>13</v>
      </c>
      <c r="E230" t="s">
        <v>14</v>
      </c>
      <c r="F230" t="s">
        <v>15</v>
      </c>
      <c r="G230">
        <v>337565.30132434203</v>
      </c>
      <c r="H230">
        <v>377322.86</v>
      </c>
      <c r="I230">
        <v>-39757.5586756579</v>
      </c>
      <c r="J230">
        <v>-0.105367479393265</v>
      </c>
      <c r="K230">
        <v>39757.5586756579</v>
      </c>
      <c r="L230">
        <v>0.105367479393265</v>
      </c>
    </row>
    <row r="231" spans="1:12" hidden="1" x14ac:dyDescent="0.35">
      <c r="A231" t="s">
        <v>19</v>
      </c>
      <c r="B231">
        <v>2020</v>
      </c>
      <c r="C231">
        <v>7</v>
      </c>
      <c r="D231" t="s">
        <v>13</v>
      </c>
      <c r="E231" t="s">
        <v>14</v>
      </c>
      <c r="F231" t="s">
        <v>15</v>
      </c>
      <c r="G231">
        <v>1616399.89102675</v>
      </c>
      <c r="H231">
        <v>1797486.11</v>
      </c>
      <c r="I231">
        <v>-181086.218973246</v>
      </c>
      <c r="J231">
        <v>-0.100744154831464</v>
      </c>
      <c r="K231">
        <v>181086.218973246</v>
      </c>
      <c r="L231">
        <v>0.100744154831464</v>
      </c>
    </row>
    <row r="232" spans="1:12" hidden="1" x14ac:dyDescent="0.35">
      <c r="A232" t="s">
        <v>12</v>
      </c>
      <c r="B232">
        <v>2021</v>
      </c>
      <c r="C232">
        <v>7</v>
      </c>
      <c r="D232" t="s">
        <v>13</v>
      </c>
      <c r="E232" t="s">
        <v>14</v>
      </c>
      <c r="F232" t="s">
        <v>15</v>
      </c>
      <c r="G232">
        <v>1377190.95259523</v>
      </c>
      <c r="H232">
        <v>1382119.93</v>
      </c>
      <c r="I232">
        <v>-4928.9774047622896</v>
      </c>
      <c r="J232">
        <v>-3.5662443596788901E-3</v>
      </c>
      <c r="K232">
        <v>4928.9774047622896</v>
      </c>
      <c r="L232">
        <v>3.5662443596788901E-3</v>
      </c>
    </row>
    <row r="233" spans="1:12" hidden="1" x14ac:dyDescent="0.35">
      <c r="A233" t="s">
        <v>16</v>
      </c>
      <c r="B233">
        <v>2021</v>
      </c>
      <c r="C233">
        <v>7</v>
      </c>
      <c r="D233" t="s">
        <v>13</v>
      </c>
      <c r="E233" t="s">
        <v>14</v>
      </c>
      <c r="F233" t="s">
        <v>15</v>
      </c>
      <c r="G233">
        <v>786225.51451157301</v>
      </c>
      <c r="H233">
        <v>754620.83</v>
      </c>
      <c r="I233">
        <v>31604.6845115738</v>
      </c>
      <c r="J233">
        <v>4.1881542696845298E-2</v>
      </c>
      <c r="K233">
        <v>31604.6845115738</v>
      </c>
      <c r="L233">
        <v>4.1881542696845298E-2</v>
      </c>
    </row>
    <row r="234" spans="1:12" hidden="1" x14ac:dyDescent="0.35">
      <c r="A234" t="s">
        <v>17</v>
      </c>
      <c r="B234">
        <v>2021</v>
      </c>
      <c r="C234">
        <v>7</v>
      </c>
      <c r="D234" t="s">
        <v>13</v>
      </c>
      <c r="E234" t="s">
        <v>14</v>
      </c>
      <c r="F234" t="s">
        <v>15</v>
      </c>
      <c r="G234">
        <v>1133534.47918555</v>
      </c>
      <c r="H234">
        <v>1039859.75</v>
      </c>
      <c r="I234">
        <v>93674.729185557895</v>
      </c>
      <c r="J234">
        <v>9.0084003333678303E-2</v>
      </c>
      <c r="K234">
        <v>93674.729185557895</v>
      </c>
      <c r="L234">
        <v>9.0084003333678303E-2</v>
      </c>
    </row>
    <row r="235" spans="1:12" hidden="1" x14ac:dyDescent="0.35">
      <c r="A235" t="s">
        <v>18</v>
      </c>
      <c r="B235">
        <v>2021</v>
      </c>
      <c r="C235">
        <v>7</v>
      </c>
      <c r="D235" t="s">
        <v>13</v>
      </c>
      <c r="E235" t="s">
        <v>14</v>
      </c>
      <c r="F235" t="s">
        <v>15</v>
      </c>
      <c r="G235">
        <v>374287.09962464502</v>
      </c>
      <c r="H235">
        <v>352474.34</v>
      </c>
      <c r="I235">
        <v>21812.7596246457</v>
      </c>
      <c r="J235">
        <v>6.1884674001079699E-2</v>
      </c>
      <c r="K235">
        <v>21812.7596246457</v>
      </c>
      <c r="L235">
        <v>6.1884674001079699E-2</v>
      </c>
    </row>
    <row r="236" spans="1:12" hidden="1" x14ac:dyDescent="0.35">
      <c r="A236" t="s">
        <v>19</v>
      </c>
      <c r="B236">
        <v>2021</v>
      </c>
      <c r="C236">
        <v>7</v>
      </c>
      <c r="D236" t="s">
        <v>13</v>
      </c>
      <c r="E236" t="s">
        <v>14</v>
      </c>
      <c r="F236" t="s">
        <v>15</v>
      </c>
      <c r="G236">
        <v>1886774.47444077</v>
      </c>
      <c r="H236">
        <v>1677803.56</v>
      </c>
      <c r="I236">
        <v>208970.91444076999</v>
      </c>
      <c r="J236">
        <v>0.124550286709828</v>
      </c>
      <c r="K236">
        <v>208970.91444076999</v>
      </c>
      <c r="L236">
        <v>0.124550286709828</v>
      </c>
    </row>
    <row r="237" spans="1:12" hidden="1" x14ac:dyDescent="0.35">
      <c r="A237" t="s">
        <v>12</v>
      </c>
      <c r="B237">
        <v>2022</v>
      </c>
      <c r="C237">
        <v>7</v>
      </c>
      <c r="D237" t="s">
        <v>13</v>
      </c>
      <c r="E237" t="s">
        <v>14</v>
      </c>
      <c r="F237" t="s">
        <v>15</v>
      </c>
      <c r="G237">
        <v>1519538.68542638</v>
      </c>
      <c r="H237">
        <v>1409120</v>
      </c>
      <c r="I237">
        <v>110418.685426389</v>
      </c>
      <c r="J237">
        <v>7.8360029966496603E-2</v>
      </c>
      <c r="K237">
        <v>110418.685426389</v>
      </c>
      <c r="L237">
        <v>7.8360029966496603E-2</v>
      </c>
    </row>
    <row r="238" spans="1:12" hidden="1" x14ac:dyDescent="0.35">
      <c r="A238" t="s">
        <v>16</v>
      </c>
      <c r="B238">
        <v>2022</v>
      </c>
      <c r="C238">
        <v>7</v>
      </c>
      <c r="D238" t="s">
        <v>13</v>
      </c>
      <c r="E238" t="s">
        <v>14</v>
      </c>
      <c r="F238" t="s">
        <v>15</v>
      </c>
      <c r="G238">
        <v>868488.53579395497</v>
      </c>
      <c r="H238">
        <v>787750</v>
      </c>
      <c r="I238">
        <v>80738.535793955205</v>
      </c>
      <c r="J238">
        <v>0.102492587488359</v>
      </c>
      <c r="K238">
        <v>80738.535793955205</v>
      </c>
      <c r="L238">
        <v>0.102492587488359</v>
      </c>
    </row>
    <row r="239" spans="1:12" hidden="1" x14ac:dyDescent="0.35">
      <c r="A239" t="s">
        <v>17</v>
      </c>
      <c r="B239">
        <v>2022</v>
      </c>
      <c r="C239">
        <v>7</v>
      </c>
      <c r="D239" t="s">
        <v>13</v>
      </c>
      <c r="E239" t="s">
        <v>14</v>
      </c>
      <c r="F239" t="s">
        <v>15</v>
      </c>
      <c r="G239">
        <v>1241270.91603483</v>
      </c>
      <c r="H239">
        <v>1097033</v>
      </c>
      <c r="I239">
        <v>144237.91603483001</v>
      </c>
      <c r="J239">
        <v>0.13148001567393999</v>
      </c>
      <c r="K239">
        <v>144237.91603483001</v>
      </c>
      <c r="L239">
        <v>0.13148001567393999</v>
      </c>
    </row>
    <row r="240" spans="1:12" hidden="1" x14ac:dyDescent="0.35">
      <c r="A240" t="s">
        <v>18</v>
      </c>
      <c r="B240">
        <v>2022</v>
      </c>
      <c r="C240">
        <v>7</v>
      </c>
      <c r="D240" t="s">
        <v>13</v>
      </c>
      <c r="E240" t="s">
        <v>14</v>
      </c>
      <c r="F240" t="s">
        <v>15</v>
      </c>
      <c r="G240">
        <v>413045.00985092501</v>
      </c>
      <c r="H240">
        <v>363164</v>
      </c>
      <c r="I240">
        <v>49881.009850925599</v>
      </c>
      <c r="J240">
        <v>0.137351196294031</v>
      </c>
      <c r="K240">
        <v>49881.009850925599</v>
      </c>
      <c r="L240">
        <v>0.137351196294031</v>
      </c>
    </row>
    <row r="241" spans="1:12" hidden="1" x14ac:dyDescent="0.35">
      <c r="A241" t="s">
        <v>19</v>
      </c>
      <c r="B241">
        <v>2022</v>
      </c>
      <c r="C241">
        <v>7</v>
      </c>
      <c r="D241" t="s">
        <v>13</v>
      </c>
      <c r="E241" t="s">
        <v>14</v>
      </c>
      <c r="F241" t="s">
        <v>15</v>
      </c>
      <c r="G241">
        <v>1925737.90331284</v>
      </c>
      <c r="H241">
        <v>1501498</v>
      </c>
      <c r="I241">
        <v>424239.90331284201</v>
      </c>
      <c r="J241">
        <v>0.28254443449997402</v>
      </c>
      <c r="K241">
        <v>424239.90331284201</v>
      </c>
      <c r="L241">
        <v>0.28254443449997402</v>
      </c>
    </row>
    <row r="242" spans="1:12" hidden="1" x14ac:dyDescent="0.35">
      <c r="A242" t="s">
        <v>12</v>
      </c>
      <c r="B242">
        <v>2023</v>
      </c>
      <c r="C242">
        <v>7</v>
      </c>
      <c r="D242" t="s">
        <v>13</v>
      </c>
      <c r="E242" t="s">
        <v>14</v>
      </c>
      <c r="F242" t="s">
        <v>15</v>
      </c>
      <c r="G242">
        <v>1386070.5988662001</v>
      </c>
      <c r="H242">
        <v>1521000</v>
      </c>
      <c r="I242">
        <v>-134929.401133796</v>
      </c>
      <c r="J242">
        <v>-8.8710980364100203E-2</v>
      </c>
      <c r="K242">
        <v>134929.401133796</v>
      </c>
      <c r="L242">
        <v>8.8710980364100203E-2</v>
      </c>
    </row>
    <row r="243" spans="1:12" hidden="1" x14ac:dyDescent="0.35">
      <c r="A243" t="s">
        <v>16</v>
      </c>
      <c r="B243">
        <v>2023</v>
      </c>
      <c r="C243">
        <v>7</v>
      </c>
      <c r="D243" t="s">
        <v>13</v>
      </c>
      <c r="E243" t="s">
        <v>14</v>
      </c>
      <c r="F243" t="s">
        <v>15</v>
      </c>
      <c r="G243">
        <v>755092.14923142001</v>
      </c>
      <c r="H243">
        <v>929000</v>
      </c>
      <c r="I243">
        <v>-173907.850768579</v>
      </c>
      <c r="J243">
        <v>-0.187198978222367</v>
      </c>
      <c r="K243">
        <v>173907.850768579</v>
      </c>
      <c r="L243">
        <v>0.187198978222367</v>
      </c>
    </row>
    <row r="244" spans="1:12" hidden="1" x14ac:dyDescent="0.35">
      <c r="A244" t="s">
        <v>17</v>
      </c>
      <c r="B244">
        <v>2023</v>
      </c>
      <c r="C244">
        <v>7</v>
      </c>
      <c r="D244" t="s">
        <v>13</v>
      </c>
      <c r="E244" t="s">
        <v>14</v>
      </c>
      <c r="F244" t="s">
        <v>15</v>
      </c>
      <c r="G244">
        <v>917037.86867648596</v>
      </c>
      <c r="H244">
        <v>1353000</v>
      </c>
      <c r="I244">
        <v>-435962.13132351299</v>
      </c>
      <c r="J244">
        <v>-0.32221887015780698</v>
      </c>
      <c r="K244">
        <v>435962.13132351299</v>
      </c>
      <c r="L244">
        <v>0.32221887015780698</v>
      </c>
    </row>
    <row r="245" spans="1:12" hidden="1" x14ac:dyDescent="0.35">
      <c r="A245" t="s">
        <v>18</v>
      </c>
      <c r="B245">
        <v>2023</v>
      </c>
      <c r="C245">
        <v>7</v>
      </c>
      <c r="D245" t="s">
        <v>13</v>
      </c>
      <c r="E245" t="s">
        <v>14</v>
      </c>
      <c r="F245" t="s">
        <v>15</v>
      </c>
      <c r="G245">
        <v>325129.05248408898</v>
      </c>
      <c r="H245">
        <v>445000</v>
      </c>
      <c r="I245">
        <v>-119870.94751591</v>
      </c>
      <c r="J245">
        <v>-0.26937291576609101</v>
      </c>
      <c r="K245">
        <v>119870.94751591</v>
      </c>
      <c r="L245">
        <v>0.26937291576609101</v>
      </c>
    </row>
    <row r="246" spans="1:12" hidden="1" x14ac:dyDescent="0.35">
      <c r="A246" t="s">
        <v>19</v>
      </c>
      <c r="B246">
        <v>2023</v>
      </c>
      <c r="C246">
        <v>7</v>
      </c>
      <c r="D246" t="s">
        <v>13</v>
      </c>
      <c r="E246" t="s">
        <v>14</v>
      </c>
      <c r="F246" t="s">
        <v>15</v>
      </c>
      <c r="G246">
        <v>1299422.8813121</v>
      </c>
      <c r="H246">
        <v>1728000</v>
      </c>
      <c r="I246">
        <v>-428577.11868789402</v>
      </c>
      <c r="J246">
        <v>-0.24801916590734599</v>
      </c>
      <c r="K246">
        <v>428577.11868789402</v>
      </c>
      <c r="L246">
        <v>0.24801916590734599</v>
      </c>
    </row>
    <row r="247" spans="1:12" hidden="1" x14ac:dyDescent="0.35">
      <c r="A247" t="s">
        <v>12</v>
      </c>
      <c r="B247">
        <v>2017</v>
      </c>
      <c r="C247">
        <v>8</v>
      </c>
      <c r="D247" t="s">
        <v>13</v>
      </c>
      <c r="E247" t="s">
        <v>14</v>
      </c>
      <c r="F247" t="s">
        <v>15</v>
      </c>
      <c r="G247">
        <v>1035595.31750704</v>
      </c>
      <c r="H247">
        <v>1011269</v>
      </c>
      <c r="I247">
        <v>24326.3175070455</v>
      </c>
      <c r="J247">
        <v>2.4055239018545501E-2</v>
      </c>
      <c r="K247">
        <v>24326.3175070455</v>
      </c>
      <c r="L247">
        <v>2.4055239018545501E-2</v>
      </c>
    </row>
    <row r="248" spans="1:12" hidden="1" x14ac:dyDescent="0.35">
      <c r="A248" t="s">
        <v>16</v>
      </c>
      <c r="B248">
        <v>2017</v>
      </c>
      <c r="C248">
        <v>8</v>
      </c>
      <c r="D248" t="s">
        <v>13</v>
      </c>
      <c r="E248" t="s">
        <v>14</v>
      </c>
      <c r="F248" t="s">
        <v>15</v>
      </c>
      <c r="G248">
        <v>461849.18666760001</v>
      </c>
      <c r="H248">
        <v>410364</v>
      </c>
      <c r="I248">
        <v>51485.186667600297</v>
      </c>
      <c r="J248">
        <v>0.125462240029827</v>
      </c>
      <c r="K248">
        <v>51485.186667600297</v>
      </c>
      <c r="L248">
        <v>0.125462240029827</v>
      </c>
    </row>
    <row r="249" spans="1:12" hidden="1" x14ac:dyDescent="0.35">
      <c r="A249" t="s">
        <v>17</v>
      </c>
      <c r="B249">
        <v>2017</v>
      </c>
      <c r="C249">
        <v>8</v>
      </c>
      <c r="D249" t="s">
        <v>13</v>
      </c>
      <c r="E249" t="s">
        <v>14</v>
      </c>
      <c r="F249" t="s">
        <v>15</v>
      </c>
      <c r="G249">
        <v>776943.18649453204</v>
      </c>
      <c r="H249">
        <v>875484</v>
      </c>
      <c r="I249">
        <v>-98540.813505467697</v>
      </c>
      <c r="J249">
        <v>-0.112555813133612</v>
      </c>
      <c r="K249">
        <v>98540.813505467697</v>
      </c>
      <c r="L249">
        <v>0.112555813133612</v>
      </c>
    </row>
    <row r="250" spans="1:12" hidden="1" x14ac:dyDescent="0.35">
      <c r="A250" t="s">
        <v>18</v>
      </c>
      <c r="B250">
        <v>2017</v>
      </c>
      <c r="C250">
        <v>8</v>
      </c>
      <c r="D250" t="s">
        <v>13</v>
      </c>
      <c r="E250" t="s">
        <v>14</v>
      </c>
      <c r="F250" t="s">
        <v>15</v>
      </c>
      <c r="G250">
        <v>218354.540469598</v>
      </c>
      <c r="H250">
        <v>215491</v>
      </c>
      <c r="I250">
        <v>2863.5404695981401</v>
      </c>
      <c r="J250">
        <v>1.32884457800935E-2</v>
      </c>
      <c r="K250">
        <v>2863.5404695981401</v>
      </c>
      <c r="L250">
        <v>1.32884457800935E-2</v>
      </c>
    </row>
    <row r="251" spans="1:12" hidden="1" x14ac:dyDescent="0.35">
      <c r="A251" t="s">
        <v>19</v>
      </c>
      <c r="B251">
        <v>2017</v>
      </c>
      <c r="C251">
        <v>8</v>
      </c>
      <c r="D251" t="s">
        <v>13</v>
      </c>
      <c r="E251" t="s">
        <v>14</v>
      </c>
      <c r="F251" t="s">
        <v>15</v>
      </c>
      <c r="G251">
        <v>805636.57387206005</v>
      </c>
      <c r="H251">
        <v>1405223</v>
      </c>
      <c r="I251">
        <v>-599586.42612793902</v>
      </c>
      <c r="J251">
        <v>-0.426684181889948</v>
      </c>
      <c r="K251">
        <v>599586.42612793902</v>
      </c>
      <c r="L251">
        <v>0.426684181889948</v>
      </c>
    </row>
    <row r="252" spans="1:12" hidden="1" x14ac:dyDescent="0.35">
      <c r="A252" t="s">
        <v>12</v>
      </c>
      <c r="B252">
        <v>2018</v>
      </c>
      <c r="C252">
        <v>8</v>
      </c>
      <c r="D252" t="s">
        <v>13</v>
      </c>
      <c r="E252" t="s">
        <v>14</v>
      </c>
      <c r="F252" t="s">
        <v>15</v>
      </c>
      <c r="G252">
        <v>992792.94223804702</v>
      </c>
      <c r="H252">
        <v>1206587.27</v>
      </c>
      <c r="I252">
        <v>-213794.32776195201</v>
      </c>
      <c r="J252">
        <v>-0.17718927845306301</v>
      </c>
      <c r="K252">
        <v>213794.32776195201</v>
      </c>
      <c r="L252">
        <v>0.17718927845306301</v>
      </c>
    </row>
    <row r="253" spans="1:12" hidden="1" x14ac:dyDescent="0.35">
      <c r="A253" t="s">
        <v>16</v>
      </c>
      <c r="B253">
        <v>2018</v>
      </c>
      <c r="C253">
        <v>8</v>
      </c>
      <c r="D253" t="s">
        <v>13</v>
      </c>
      <c r="E253" t="s">
        <v>14</v>
      </c>
      <c r="F253" t="s">
        <v>15</v>
      </c>
      <c r="G253">
        <v>370239.92010161403</v>
      </c>
      <c r="H253">
        <v>485672.51</v>
      </c>
      <c r="I253">
        <v>-115432.58989838501</v>
      </c>
      <c r="J253">
        <v>-0.23767577435746901</v>
      </c>
      <c r="K253">
        <v>115432.58989838501</v>
      </c>
      <c r="L253">
        <v>0.23767577435746901</v>
      </c>
    </row>
    <row r="254" spans="1:12" hidden="1" x14ac:dyDescent="0.35">
      <c r="A254" t="s">
        <v>17</v>
      </c>
      <c r="B254">
        <v>2018</v>
      </c>
      <c r="C254">
        <v>8</v>
      </c>
      <c r="D254" t="s">
        <v>13</v>
      </c>
      <c r="E254" t="s">
        <v>14</v>
      </c>
      <c r="F254" t="s">
        <v>15</v>
      </c>
      <c r="G254">
        <v>813093.935403032</v>
      </c>
      <c r="H254">
        <v>897574.18</v>
      </c>
      <c r="I254">
        <v>-84480.244596967401</v>
      </c>
      <c r="J254">
        <v>-9.4120626995940801E-2</v>
      </c>
      <c r="K254">
        <v>84480.244596967401</v>
      </c>
      <c r="L254">
        <v>9.4120626995940801E-2</v>
      </c>
    </row>
    <row r="255" spans="1:12" hidden="1" x14ac:dyDescent="0.35">
      <c r="A255" t="s">
        <v>18</v>
      </c>
      <c r="B255">
        <v>2018</v>
      </c>
      <c r="C255">
        <v>8</v>
      </c>
      <c r="D255" t="s">
        <v>13</v>
      </c>
      <c r="E255" t="s">
        <v>14</v>
      </c>
      <c r="F255" t="s">
        <v>15</v>
      </c>
      <c r="G255">
        <v>195731.91945696899</v>
      </c>
      <c r="H255">
        <v>295463.11</v>
      </c>
      <c r="I255">
        <v>-99731.190543030505</v>
      </c>
      <c r="J255">
        <v>-0.33754193727613002</v>
      </c>
      <c r="K255">
        <v>99731.190543030505</v>
      </c>
      <c r="L255">
        <v>0.33754193727613002</v>
      </c>
    </row>
    <row r="256" spans="1:12" hidden="1" x14ac:dyDescent="0.35">
      <c r="A256" t="s">
        <v>19</v>
      </c>
      <c r="B256">
        <v>2018</v>
      </c>
      <c r="C256">
        <v>8</v>
      </c>
      <c r="D256" t="s">
        <v>13</v>
      </c>
      <c r="E256" t="s">
        <v>14</v>
      </c>
      <c r="F256" t="s">
        <v>15</v>
      </c>
      <c r="G256">
        <v>1308232.7261953</v>
      </c>
      <c r="H256">
        <v>1500588.37</v>
      </c>
      <c r="I256">
        <v>-192355.643804697</v>
      </c>
      <c r="J256">
        <v>-0.12818681501889601</v>
      </c>
      <c r="K256">
        <v>192355.643804697</v>
      </c>
      <c r="L256">
        <v>0.12818681501889601</v>
      </c>
    </row>
    <row r="257" spans="1:12" hidden="1" x14ac:dyDescent="0.35">
      <c r="A257" t="s">
        <v>12</v>
      </c>
      <c r="B257">
        <v>2019</v>
      </c>
      <c r="C257">
        <v>8</v>
      </c>
      <c r="D257" t="s">
        <v>13</v>
      </c>
      <c r="E257" t="s">
        <v>14</v>
      </c>
      <c r="F257" t="s">
        <v>15</v>
      </c>
      <c r="G257">
        <v>1193707.0529997</v>
      </c>
      <c r="H257">
        <v>1155730.28</v>
      </c>
      <c r="I257">
        <v>37976.772999708497</v>
      </c>
      <c r="J257">
        <v>3.2859546606071897E-2</v>
      </c>
      <c r="K257">
        <v>37976.772999708497</v>
      </c>
      <c r="L257">
        <v>3.2859546606071897E-2</v>
      </c>
    </row>
    <row r="258" spans="1:12" hidden="1" x14ac:dyDescent="0.35">
      <c r="A258" t="s">
        <v>16</v>
      </c>
      <c r="B258">
        <v>2019</v>
      </c>
      <c r="C258">
        <v>8</v>
      </c>
      <c r="D258" t="s">
        <v>13</v>
      </c>
      <c r="E258" t="s">
        <v>14</v>
      </c>
      <c r="F258" t="s">
        <v>15</v>
      </c>
      <c r="G258">
        <v>437270.52301748499</v>
      </c>
      <c r="H258">
        <v>530704.97</v>
      </c>
      <c r="I258">
        <v>-93434.446982514695</v>
      </c>
      <c r="J258">
        <v>-0.17605723003218601</v>
      </c>
      <c r="K258">
        <v>93434.446982514695</v>
      </c>
      <c r="L258">
        <v>0.17605723003218601</v>
      </c>
    </row>
    <row r="259" spans="1:12" hidden="1" x14ac:dyDescent="0.35">
      <c r="A259" t="s">
        <v>17</v>
      </c>
      <c r="B259">
        <v>2019</v>
      </c>
      <c r="C259">
        <v>8</v>
      </c>
      <c r="D259" t="s">
        <v>13</v>
      </c>
      <c r="E259" t="s">
        <v>14</v>
      </c>
      <c r="F259" t="s">
        <v>15</v>
      </c>
      <c r="G259">
        <v>799795.87808654201</v>
      </c>
      <c r="H259">
        <v>807044.07</v>
      </c>
      <c r="I259">
        <v>-7248.1919134578202</v>
      </c>
      <c r="J259">
        <v>-8.9811599922391093E-3</v>
      </c>
      <c r="K259">
        <v>7248.1919134578202</v>
      </c>
      <c r="L259">
        <v>8.9811599922391093E-3</v>
      </c>
    </row>
    <row r="260" spans="1:12" hidden="1" x14ac:dyDescent="0.35">
      <c r="A260" t="s">
        <v>18</v>
      </c>
      <c r="B260">
        <v>2019</v>
      </c>
      <c r="C260">
        <v>8</v>
      </c>
      <c r="D260" t="s">
        <v>13</v>
      </c>
      <c r="E260" t="s">
        <v>14</v>
      </c>
      <c r="F260" t="s">
        <v>15</v>
      </c>
      <c r="G260">
        <v>271816.65169084101</v>
      </c>
      <c r="H260">
        <v>270168.31</v>
      </c>
      <c r="I260">
        <v>1648.34169084113</v>
      </c>
      <c r="J260">
        <v>6.1011659392662702E-3</v>
      </c>
      <c r="K260">
        <v>1648.34169084113</v>
      </c>
      <c r="L260">
        <v>6.1011659392662702E-3</v>
      </c>
    </row>
    <row r="261" spans="1:12" hidden="1" x14ac:dyDescent="0.35">
      <c r="A261" t="s">
        <v>19</v>
      </c>
      <c r="B261">
        <v>2019</v>
      </c>
      <c r="C261">
        <v>8</v>
      </c>
      <c r="D261" t="s">
        <v>13</v>
      </c>
      <c r="E261" t="s">
        <v>14</v>
      </c>
      <c r="F261" t="s">
        <v>15</v>
      </c>
      <c r="G261">
        <v>1381693.4120497101</v>
      </c>
      <c r="H261">
        <v>1421288.11</v>
      </c>
      <c r="I261">
        <v>-39594.697950289497</v>
      </c>
      <c r="J261">
        <v>-2.78583192751043E-2</v>
      </c>
      <c r="K261">
        <v>39594.697950289497</v>
      </c>
      <c r="L261">
        <v>2.78583192751043E-2</v>
      </c>
    </row>
    <row r="262" spans="1:12" hidden="1" x14ac:dyDescent="0.35">
      <c r="A262" t="s">
        <v>12</v>
      </c>
      <c r="B262">
        <v>2020</v>
      </c>
      <c r="C262">
        <v>8</v>
      </c>
      <c r="D262" t="s">
        <v>13</v>
      </c>
      <c r="E262" t="s">
        <v>14</v>
      </c>
      <c r="F262" t="s">
        <v>15</v>
      </c>
      <c r="G262">
        <v>1386231.7133341001</v>
      </c>
      <c r="H262">
        <v>1349723.01</v>
      </c>
      <c r="I262">
        <v>36508.703334106598</v>
      </c>
      <c r="J262">
        <v>2.70490338118386E-2</v>
      </c>
      <c r="K262">
        <v>36508.703334106598</v>
      </c>
      <c r="L262">
        <v>2.70490338118386E-2</v>
      </c>
    </row>
    <row r="263" spans="1:12" hidden="1" x14ac:dyDescent="0.35">
      <c r="A263" t="s">
        <v>16</v>
      </c>
      <c r="B263">
        <v>2020</v>
      </c>
      <c r="C263">
        <v>8</v>
      </c>
      <c r="D263" t="s">
        <v>13</v>
      </c>
      <c r="E263" t="s">
        <v>14</v>
      </c>
      <c r="F263" t="s">
        <v>15</v>
      </c>
      <c r="G263">
        <v>770198.68408792303</v>
      </c>
      <c r="H263">
        <v>761883.04</v>
      </c>
      <c r="I263">
        <v>8315.6440879229904</v>
      </c>
      <c r="J263">
        <v>1.0914594040475E-2</v>
      </c>
      <c r="K263">
        <v>8315.6440879229904</v>
      </c>
      <c r="L263">
        <v>1.0914594040475E-2</v>
      </c>
    </row>
    <row r="264" spans="1:12" hidden="1" x14ac:dyDescent="0.35">
      <c r="A264" t="s">
        <v>17</v>
      </c>
      <c r="B264">
        <v>2020</v>
      </c>
      <c r="C264">
        <v>8</v>
      </c>
      <c r="D264" t="s">
        <v>13</v>
      </c>
      <c r="E264" t="s">
        <v>14</v>
      </c>
      <c r="F264" t="s">
        <v>15</v>
      </c>
      <c r="G264">
        <v>1179569.64232766</v>
      </c>
      <c r="H264">
        <v>1144854.92</v>
      </c>
      <c r="I264">
        <v>34714.722327669297</v>
      </c>
      <c r="J264">
        <v>3.0322376854238699E-2</v>
      </c>
      <c r="K264">
        <v>34714.722327669297</v>
      </c>
      <c r="L264">
        <v>3.0322376854238699E-2</v>
      </c>
    </row>
    <row r="265" spans="1:12" hidden="1" x14ac:dyDescent="0.35">
      <c r="A265" t="s">
        <v>18</v>
      </c>
      <c r="B265">
        <v>2020</v>
      </c>
      <c r="C265">
        <v>8</v>
      </c>
      <c r="D265" t="s">
        <v>13</v>
      </c>
      <c r="E265" t="s">
        <v>14</v>
      </c>
      <c r="F265" t="s">
        <v>15</v>
      </c>
      <c r="G265">
        <v>382758.53136097302</v>
      </c>
      <c r="H265">
        <v>377322.86</v>
      </c>
      <c r="I265">
        <v>5435.6713609733197</v>
      </c>
      <c r="J265">
        <v>1.44058893250552E-2</v>
      </c>
      <c r="K265">
        <v>5435.6713609733197</v>
      </c>
      <c r="L265">
        <v>1.44058893250552E-2</v>
      </c>
    </row>
    <row r="266" spans="1:12" hidden="1" x14ac:dyDescent="0.35">
      <c r="A266" t="s">
        <v>19</v>
      </c>
      <c r="B266">
        <v>2020</v>
      </c>
      <c r="C266">
        <v>8</v>
      </c>
      <c r="D266" t="s">
        <v>13</v>
      </c>
      <c r="E266" t="s">
        <v>14</v>
      </c>
      <c r="F266" t="s">
        <v>15</v>
      </c>
      <c r="G266">
        <v>1815489.8275137099</v>
      </c>
      <c r="H266">
        <v>1797486.11</v>
      </c>
      <c r="I266">
        <v>18003.717513710399</v>
      </c>
      <c r="J266">
        <v>1.0016053761722999E-2</v>
      </c>
      <c r="K266">
        <v>18003.717513710399</v>
      </c>
      <c r="L266">
        <v>1.0016053761722999E-2</v>
      </c>
    </row>
    <row r="267" spans="1:12" hidden="1" x14ac:dyDescent="0.35">
      <c r="A267" t="s">
        <v>12</v>
      </c>
      <c r="B267">
        <v>2021</v>
      </c>
      <c r="C267">
        <v>8</v>
      </c>
      <c r="D267" t="s">
        <v>13</v>
      </c>
      <c r="E267" t="s">
        <v>14</v>
      </c>
      <c r="F267" t="s">
        <v>15</v>
      </c>
      <c r="G267">
        <v>1314122.40655601</v>
      </c>
      <c r="H267">
        <v>1382119.93</v>
      </c>
      <c r="I267">
        <v>-67997.523443989194</v>
      </c>
      <c r="J267">
        <v>-4.9197990686661398E-2</v>
      </c>
      <c r="K267">
        <v>67997.523443989194</v>
      </c>
      <c r="L267">
        <v>4.9197990686661398E-2</v>
      </c>
    </row>
    <row r="268" spans="1:12" hidden="1" x14ac:dyDescent="0.35">
      <c r="A268" t="s">
        <v>16</v>
      </c>
      <c r="B268">
        <v>2021</v>
      </c>
      <c r="C268">
        <v>8</v>
      </c>
      <c r="D268" t="s">
        <v>13</v>
      </c>
      <c r="E268" t="s">
        <v>14</v>
      </c>
      <c r="F268" t="s">
        <v>15</v>
      </c>
      <c r="G268">
        <v>694580.14336329605</v>
      </c>
      <c r="H268">
        <v>754620.83</v>
      </c>
      <c r="I268">
        <v>-60040.686636703504</v>
      </c>
      <c r="J268">
        <v>-7.9564046273018399E-2</v>
      </c>
      <c r="K268">
        <v>60040.686636703504</v>
      </c>
      <c r="L268">
        <v>7.9564046273018399E-2</v>
      </c>
    </row>
    <row r="269" spans="1:12" hidden="1" x14ac:dyDescent="0.35">
      <c r="A269" t="s">
        <v>17</v>
      </c>
      <c r="B269">
        <v>2021</v>
      </c>
      <c r="C269">
        <v>8</v>
      </c>
      <c r="D269" t="s">
        <v>13</v>
      </c>
      <c r="E269" t="s">
        <v>14</v>
      </c>
      <c r="F269" t="s">
        <v>15</v>
      </c>
      <c r="G269">
        <v>971199.20009768696</v>
      </c>
      <c r="H269">
        <v>1039859.75</v>
      </c>
      <c r="I269">
        <v>-68660.549902312501</v>
      </c>
      <c r="J269">
        <v>-6.6028663867711501E-2</v>
      </c>
      <c r="K269">
        <v>68660.549902312501</v>
      </c>
      <c r="L269">
        <v>6.6028663867711501E-2</v>
      </c>
    </row>
    <row r="270" spans="1:12" hidden="1" x14ac:dyDescent="0.35">
      <c r="A270" t="s">
        <v>18</v>
      </c>
      <c r="B270">
        <v>2021</v>
      </c>
      <c r="C270">
        <v>8</v>
      </c>
      <c r="D270" t="s">
        <v>13</v>
      </c>
      <c r="E270" t="s">
        <v>14</v>
      </c>
      <c r="F270" t="s">
        <v>15</v>
      </c>
      <c r="G270">
        <v>329649.14655335899</v>
      </c>
      <c r="H270">
        <v>352474.34</v>
      </c>
      <c r="I270">
        <v>-22825.193446640998</v>
      </c>
      <c r="J270">
        <v>-6.4757035779231503E-2</v>
      </c>
      <c r="K270">
        <v>22825.193446640998</v>
      </c>
      <c r="L270">
        <v>6.4757035779231503E-2</v>
      </c>
    </row>
    <row r="271" spans="1:12" hidden="1" x14ac:dyDescent="0.35">
      <c r="A271" t="s">
        <v>19</v>
      </c>
      <c r="B271">
        <v>2021</v>
      </c>
      <c r="C271">
        <v>8</v>
      </c>
      <c r="D271" t="s">
        <v>13</v>
      </c>
      <c r="E271" t="s">
        <v>14</v>
      </c>
      <c r="F271" t="s">
        <v>15</v>
      </c>
      <c r="G271">
        <v>1656635.7966926701</v>
      </c>
      <c r="H271">
        <v>1677803.56</v>
      </c>
      <c r="I271">
        <v>-21167.7633073297</v>
      </c>
      <c r="J271">
        <v>-1.2616353792532E-2</v>
      </c>
      <c r="K271">
        <v>21167.7633073297</v>
      </c>
      <c r="L271">
        <v>1.2616353792532E-2</v>
      </c>
    </row>
    <row r="272" spans="1:12" hidden="1" x14ac:dyDescent="0.35">
      <c r="A272" t="s">
        <v>12</v>
      </c>
      <c r="B272">
        <v>2022</v>
      </c>
      <c r="C272">
        <v>8</v>
      </c>
      <c r="D272" t="s">
        <v>13</v>
      </c>
      <c r="E272" t="s">
        <v>14</v>
      </c>
      <c r="F272" t="s">
        <v>15</v>
      </c>
      <c r="G272">
        <v>1495730.84062148</v>
      </c>
      <c r="H272">
        <v>1409120</v>
      </c>
      <c r="I272">
        <v>86610.840621488605</v>
      </c>
      <c r="J272">
        <v>6.1464488916123897E-2</v>
      </c>
      <c r="K272">
        <v>86610.840621488605</v>
      </c>
      <c r="L272">
        <v>6.1464488916123897E-2</v>
      </c>
    </row>
    <row r="273" spans="1:12" hidden="1" x14ac:dyDescent="0.35">
      <c r="A273" t="s">
        <v>16</v>
      </c>
      <c r="B273">
        <v>2022</v>
      </c>
      <c r="C273">
        <v>8</v>
      </c>
      <c r="D273" t="s">
        <v>13</v>
      </c>
      <c r="E273" t="s">
        <v>14</v>
      </c>
      <c r="F273" t="s">
        <v>15</v>
      </c>
      <c r="G273">
        <v>878450.38216773502</v>
      </c>
      <c r="H273">
        <v>787750</v>
      </c>
      <c r="I273">
        <v>90700.382167735093</v>
      </c>
      <c r="J273">
        <v>0.115138536550599</v>
      </c>
      <c r="K273">
        <v>90700.382167735093</v>
      </c>
      <c r="L273">
        <v>0.115138536550599</v>
      </c>
    </row>
    <row r="274" spans="1:12" hidden="1" x14ac:dyDescent="0.35">
      <c r="A274" t="s">
        <v>17</v>
      </c>
      <c r="B274">
        <v>2022</v>
      </c>
      <c r="C274">
        <v>8</v>
      </c>
      <c r="D274" t="s">
        <v>13</v>
      </c>
      <c r="E274" t="s">
        <v>14</v>
      </c>
      <c r="F274" t="s">
        <v>15</v>
      </c>
      <c r="G274">
        <v>1189459.99135598</v>
      </c>
      <c r="H274">
        <v>1097033</v>
      </c>
      <c r="I274">
        <v>92426.991355989798</v>
      </c>
      <c r="J274">
        <v>8.4251787645394205E-2</v>
      </c>
      <c r="K274">
        <v>92426.991355989798</v>
      </c>
      <c r="L274">
        <v>8.4251787645394205E-2</v>
      </c>
    </row>
    <row r="275" spans="1:12" hidden="1" x14ac:dyDescent="0.35">
      <c r="A275" t="s">
        <v>18</v>
      </c>
      <c r="B275">
        <v>2022</v>
      </c>
      <c r="C275">
        <v>8</v>
      </c>
      <c r="D275" t="s">
        <v>13</v>
      </c>
      <c r="E275" t="s">
        <v>14</v>
      </c>
      <c r="F275" t="s">
        <v>15</v>
      </c>
      <c r="G275">
        <v>400769.07269891602</v>
      </c>
      <c r="H275">
        <v>363164</v>
      </c>
      <c r="I275">
        <v>37605.072698916003</v>
      </c>
      <c r="J275">
        <v>0.103548459370741</v>
      </c>
      <c r="K275">
        <v>37605.072698916003</v>
      </c>
      <c r="L275">
        <v>0.103548459370741</v>
      </c>
    </row>
    <row r="276" spans="1:12" hidden="1" x14ac:dyDescent="0.35">
      <c r="A276" t="s">
        <v>19</v>
      </c>
      <c r="B276">
        <v>2022</v>
      </c>
      <c r="C276">
        <v>8</v>
      </c>
      <c r="D276" t="s">
        <v>13</v>
      </c>
      <c r="E276" t="s">
        <v>14</v>
      </c>
      <c r="F276" t="s">
        <v>15</v>
      </c>
      <c r="G276">
        <v>1891802.24319687</v>
      </c>
      <c r="H276">
        <v>1501498</v>
      </c>
      <c r="I276">
        <v>390304.24319687102</v>
      </c>
      <c r="J276">
        <v>0.25994323215673298</v>
      </c>
      <c r="K276">
        <v>390304.24319687102</v>
      </c>
      <c r="L276">
        <v>0.25994323215673298</v>
      </c>
    </row>
    <row r="277" spans="1:12" hidden="1" x14ac:dyDescent="0.35">
      <c r="A277" t="s">
        <v>12</v>
      </c>
      <c r="B277">
        <v>2023</v>
      </c>
      <c r="C277">
        <v>8</v>
      </c>
      <c r="D277" t="s">
        <v>13</v>
      </c>
      <c r="E277" t="s">
        <v>14</v>
      </c>
      <c r="F277" t="s">
        <v>15</v>
      </c>
      <c r="G277">
        <v>1391548.1990242801</v>
      </c>
      <c r="H277">
        <v>1521000</v>
      </c>
      <c r="I277">
        <v>-129451.800975718</v>
      </c>
      <c r="J277">
        <v>-8.5109665335777795E-2</v>
      </c>
      <c r="K277">
        <v>129451.800975718</v>
      </c>
      <c r="L277">
        <v>8.5109665335777795E-2</v>
      </c>
    </row>
    <row r="278" spans="1:12" hidden="1" x14ac:dyDescent="0.35">
      <c r="A278" t="s">
        <v>16</v>
      </c>
      <c r="B278">
        <v>2023</v>
      </c>
      <c r="C278">
        <v>8</v>
      </c>
      <c r="D278" t="s">
        <v>13</v>
      </c>
      <c r="E278" t="s">
        <v>14</v>
      </c>
      <c r="F278" t="s">
        <v>15</v>
      </c>
      <c r="G278">
        <v>741083.09797986306</v>
      </c>
      <c r="H278">
        <v>929000</v>
      </c>
      <c r="I278">
        <v>-187916.90202013601</v>
      </c>
      <c r="J278">
        <v>-0.202278688934485</v>
      </c>
      <c r="K278">
        <v>187916.90202013601</v>
      </c>
      <c r="L278">
        <v>0.202278688934485</v>
      </c>
    </row>
    <row r="279" spans="1:12" hidden="1" x14ac:dyDescent="0.35">
      <c r="A279" t="s">
        <v>17</v>
      </c>
      <c r="B279">
        <v>2023</v>
      </c>
      <c r="C279">
        <v>8</v>
      </c>
      <c r="D279" t="s">
        <v>13</v>
      </c>
      <c r="E279" t="s">
        <v>14</v>
      </c>
      <c r="F279" t="s">
        <v>15</v>
      </c>
      <c r="G279">
        <v>1017158.28242679</v>
      </c>
      <c r="H279">
        <v>1353000</v>
      </c>
      <c r="I279">
        <v>-335841.71757320297</v>
      </c>
      <c r="J279">
        <v>-0.24822004255225599</v>
      </c>
      <c r="K279">
        <v>335841.71757320297</v>
      </c>
      <c r="L279">
        <v>0.24822004255225599</v>
      </c>
    </row>
    <row r="280" spans="1:12" hidden="1" x14ac:dyDescent="0.35">
      <c r="A280" t="s">
        <v>18</v>
      </c>
      <c r="B280">
        <v>2023</v>
      </c>
      <c r="C280">
        <v>8</v>
      </c>
      <c r="D280" t="s">
        <v>13</v>
      </c>
      <c r="E280" t="s">
        <v>14</v>
      </c>
      <c r="F280" t="s">
        <v>15</v>
      </c>
      <c r="G280">
        <v>340328.90511736303</v>
      </c>
      <c r="H280">
        <v>445000</v>
      </c>
      <c r="I280">
        <v>-104671.094882636</v>
      </c>
      <c r="J280">
        <v>-0.23521594355648601</v>
      </c>
      <c r="K280">
        <v>104671.094882636</v>
      </c>
      <c r="L280">
        <v>0.23521594355648601</v>
      </c>
    </row>
    <row r="281" spans="1:12" hidden="1" x14ac:dyDescent="0.35">
      <c r="A281" t="s">
        <v>19</v>
      </c>
      <c r="B281">
        <v>2023</v>
      </c>
      <c r="C281">
        <v>8</v>
      </c>
      <c r="D281" t="s">
        <v>13</v>
      </c>
      <c r="E281" t="s">
        <v>14</v>
      </c>
      <c r="F281" t="s">
        <v>15</v>
      </c>
      <c r="G281">
        <v>1440948.74168877</v>
      </c>
      <c r="H281">
        <v>1728000</v>
      </c>
      <c r="I281">
        <v>-287051.25831122202</v>
      </c>
      <c r="J281">
        <v>-0.16611762633751201</v>
      </c>
      <c r="K281">
        <v>287051.25831122202</v>
      </c>
      <c r="L281">
        <v>0.16611762633751201</v>
      </c>
    </row>
    <row r="282" spans="1:12" hidden="1" x14ac:dyDescent="0.35">
      <c r="A282" t="s">
        <v>12</v>
      </c>
      <c r="B282">
        <v>2017</v>
      </c>
      <c r="C282">
        <v>9</v>
      </c>
      <c r="D282" t="s">
        <v>13</v>
      </c>
      <c r="E282" t="s">
        <v>14</v>
      </c>
      <c r="F282" t="s">
        <v>15</v>
      </c>
      <c r="G282">
        <v>1105846.6664612901</v>
      </c>
      <c r="H282">
        <v>1011269</v>
      </c>
      <c r="I282">
        <v>94577.666461295405</v>
      </c>
      <c r="J282">
        <v>9.3523747352381406E-2</v>
      </c>
      <c r="K282">
        <v>94577.666461295405</v>
      </c>
      <c r="L282">
        <v>9.3523747352381406E-2</v>
      </c>
    </row>
    <row r="283" spans="1:12" hidden="1" x14ac:dyDescent="0.35">
      <c r="A283" t="s">
        <v>16</v>
      </c>
      <c r="B283">
        <v>2017</v>
      </c>
      <c r="C283">
        <v>9</v>
      </c>
      <c r="D283" t="s">
        <v>13</v>
      </c>
      <c r="E283" t="s">
        <v>14</v>
      </c>
      <c r="F283" t="s">
        <v>15</v>
      </c>
      <c r="G283">
        <v>508492.982011744</v>
      </c>
      <c r="H283">
        <v>410364</v>
      </c>
      <c r="I283">
        <v>98128.982011744607</v>
      </c>
      <c r="J283">
        <v>0.23912668268109399</v>
      </c>
      <c r="K283">
        <v>98128.982011744607</v>
      </c>
      <c r="L283">
        <v>0.23912668268109399</v>
      </c>
    </row>
    <row r="284" spans="1:12" hidden="1" x14ac:dyDescent="0.35">
      <c r="A284" t="s">
        <v>17</v>
      </c>
      <c r="B284">
        <v>2017</v>
      </c>
      <c r="C284">
        <v>9</v>
      </c>
      <c r="D284" t="s">
        <v>13</v>
      </c>
      <c r="E284" t="s">
        <v>14</v>
      </c>
      <c r="F284" t="s">
        <v>15</v>
      </c>
      <c r="G284">
        <v>864635.85801229998</v>
      </c>
      <c r="H284">
        <v>875484</v>
      </c>
      <c r="I284">
        <v>-10848.141987699701</v>
      </c>
      <c r="J284">
        <v>-1.2391022551753899E-2</v>
      </c>
      <c r="K284">
        <v>10848.141987699701</v>
      </c>
      <c r="L284">
        <v>1.2391022551753899E-2</v>
      </c>
    </row>
    <row r="285" spans="1:12" hidden="1" x14ac:dyDescent="0.35">
      <c r="A285" t="s">
        <v>18</v>
      </c>
      <c r="B285">
        <v>2017</v>
      </c>
      <c r="C285">
        <v>9</v>
      </c>
      <c r="D285" t="s">
        <v>13</v>
      </c>
      <c r="E285" t="s">
        <v>14</v>
      </c>
      <c r="F285" t="s">
        <v>15</v>
      </c>
      <c r="G285">
        <v>244629.78514172</v>
      </c>
      <c r="H285">
        <v>215491</v>
      </c>
      <c r="I285">
        <v>29138.7851417202</v>
      </c>
      <c r="J285">
        <v>0.13522042749683399</v>
      </c>
      <c r="K285">
        <v>29138.7851417202</v>
      </c>
      <c r="L285">
        <v>0.13522042749683399</v>
      </c>
    </row>
    <row r="286" spans="1:12" hidden="1" x14ac:dyDescent="0.35">
      <c r="A286" t="s">
        <v>19</v>
      </c>
      <c r="B286">
        <v>2017</v>
      </c>
      <c r="C286">
        <v>9</v>
      </c>
      <c r="D286" t="s">
        <v>13</v>
      </c>
      <c r="E286" t="s">
        <v>14</v>
      </c>
      <c r="F286" t="s">
        <v>15</v>
      </c>
      <c r="G286">
        <v>779590.09048176196</v>
      </c>
      <c r="H286">
        <v>1405223</v>
      </c>
      <c r="I286">
        <v>-625632.90951823699</v>
      </c>
      <c r="J286">
        <v>-0.44521966230145499</v>
      </c>
      <c r="K286">
        <v>625632.90951823699</v>
      </c>
      <c r="L286">
        <v>0.44521966230145499</v>
      </c>
    </row>
    <row r="287" spans="1:12" hidden="1" x14ac:dyDescent="0.35">
      <c r="A287" t="s">
        <v>12</v>
      </c>
      <c r="B287">
        <v>2018</v>
      </c>
      <c r="C287">
        <v>9</v>
      </c>
      <c r="D287" t="s">
        <v>13</v>
      </c>
      <c r="E287" t="s">
        <v>14</v>
      </c>
      <c r="F287" t="s">
        <v>15</v>
      </c>
      <c r="G287">
        <v>935720.93168920197</v>
      </c>
      <c r="H287">
        <v>1206587.27</v>
      </c>
      <c r="I287">
        <v>-270866.338310797</v>
      </c>
      <c r="J287">
        <v>-0.22448963704945801</v>
      </c>
      <c r="K287">
        <v>270866.338310797</v>
      </c>
      <c r="L287">
        <v>0.22448963704945801</v>
      </c>
    </row>
    <row r="288" spans="1:12" hidden="1" x14ac:dyDescent="0.35">
      <c r="A288" t="s">
        <v>16</v>
      </c>
      <c r="B288">
        <v>2018</v>
      </c>
      <c r="C288">
        <v>9</v>
      </c>
      <c r="D288" t="s">
        <v>13</v>
      </c>
      <c r="E288" t="s">
        <v>14</v>
      </c>
      <c r="F288" t="s">
        <v>15</v>
      </c>
      <c r="G288">
        <v>356263.57739391702</v>
      </c>
      <c r="H288">
        <v>485672.51</v>
      </c>
      <c r="I288">
        <v>-129408.932606082</v>
      </c>
      <c r="J288">
        <v>-0.26645307268077001</v>
      </c>
      <c r="K288">
        <v>129408.932606082</v>
      </c>
      <c r="L288">
        <v>0.26645307268077001</v>
      </c>
    </row>
    <row r="289" spans="1:12" hidden="1" x14ac:dyDescent="0.35">
      <c r="A289" t="s">
        <v>17</v>
      </c>
      <c r="B289">
        <v>2018</v>
      </c>
      <c r="C289">
        <v>9</v>
      </c>
      <c r="D289" t="s">
        <v>13</v>
      </c>
      <c r="E289" t="s">
        <v>14</v>
      </c>
      <c r="F289" t="s">
        <v>15</v>
      </c>
      <c r="G289">
        <v>746196.225382537</v>
      </c>
      <c r="H289">
        <v>897574.18</v>
      </c>
      <c r="I289">
        <v>-151377.954617462</v>
      </c>
      <c r="J289">
        <v>-0.168652305280731</v>
      </c>
      <c r="K289">
        <v>151377.954617462</v>
      </c>
      <c r="L289">
        <v>0.168652305280731</v>
      </c>
    </row>
    <row r="290" spans="1:12" hidden="1" x14ac:dyDescent="0.35">
      <c r="A290" t="s">
        <v>18</v>
      </c>
      <c r="B290">
        <v>2018</v>
      </c>
      <c r="C290">
        <v>9</v>
      </c>
      <c r="D290" t="s">
        <v>13</v>
      </c>
      <c r="E290" t="s">
        <v>14</v>
      </c>
      <c r="F290" t="s">
        <v>15</v>
      </c>
      <c r="G290">
        <v>176870.04067334201</v>
      </c>
      <c r="H290">
        <v>295463.11</v>
      </c>
      <c r="I290">
        <v>-118593.069326657</v>
      </c>
      <c r="J290">
        <v>-0.40138029186336399</v>
      </c>
      <c r="K290">
        <v>118593.069326657</v>
      </c>
      <c r="L290">
        <v>0.40138029186336399</v>
      </c>
    </row>
    <row r="291" spans="1:12" hidden="1" x14ac:dyDescent="0.35">
      <c r="A291" t="s">
        <v>19</v>
      </c>
      <c r="B291">
        <v>2018</v>
      </c>
      <c r="C291">
        <v>9</v>
      </c>
      <c r="D291" t="s">
        <v>13</v>
      </c>
      <c r="E291" t="s">
        <v>14</v>
      </c>
      <c r="F291" t="s">
        <v>15</v>
      </c>
      <c r="G291">
        <v>1323069.3261573999</v>
      </c>
      <c r="H291">
        <v>1500588.37</v>
      </c>
      <c r="I291">
        <v>-177519.04384259801</v>
      </c>
      <c r="J291">
        <v>-0.118299626594199</v>
      </c>
      <c r="K291">
        <v>177519.04384259801</v>
      </c>
      <c r="L291">
        <v>0.118299626594199</v>
      </c>
    </row>
    <row r="292" spans="1:12" hidden="1" x14ac:dyDescent="0.35">
      <c r="A292" t="s">
        <v>12</v>
      </c>
      <c r="B292">
        <v>2019</v>
      </c>
      <c r="C292">
        <v>9</v>
      </c>
      <c r="D292" t="s">
        <v>13</v>
      </c>
      <c r="E292" t="s">
        <v>14</v>
      </c>
      <c r="F292" t="s">
        <v>15</v>
      </c>
      <c r="G292">
        <v>1215176.7704896401</v>
      </c>
      <c r="H292">
        <v>1155730.28</v>
      </c>
      <c r="I292">
        <v>59446.490489642601</v>
      </c>
      <c r="J292">
        <v>5.1436300941810197E-2</v>
      </c>
      <c r="K292">
        <v>59446.490489642601</v>
      </c>
      <c r="L292">
        <v>5.1436300941810197E-2</v>
      </c>
    </row>
    <row r="293" spans="1:12" hidden="1" x14ac:dyDescent="0.35">
      <c r="A293" t="s">
        <v>16</v>
      </c>
      <c r="B293">
        <v>2019</v>
      </c>
      <c r="C293">
        <v>9</v>
      </c>
      <c r="D293" t="s">
        <v>13</v>
      </c>
      <c r="E293" t="s">
        <v>14</v>
      </c>
      <c r="F293" t="s">
        <v>15</v>
      </c>
      <c r="G293">
        <v>456920.29116061499</v>
      </c>
      <c r="H293">
        <v>530704.97</v>
      </c>
      <c r="I293">
        <v>-73784.6788393842</v>
      </c>
      <c r="J293">
        <v>-0.13903144498417599</v>
      </c>
      <c r="K293">
        <v>73784.6788393842</v>
      </c>
      <c r="L293">
        <v>0.13903144498417599</v>
      </c>
    </row>
    <row r="294" spans="1:12" hidden="1" x14ac:dyDescent="0.35">
      <c r="A294" t="s">
        <v>17</v>
      </c>
      <c r="B294">
        <v>2019</v>
      </c>
      <c r="C294">
        <v>9</v>
      </c>
      <c r="D294" t="s">
        <v>13</v>
      </c>
      <c r="E294" t="s">
        <v>14</v>
      </c>
      <c r="F294" t="s">
        <v>15</v>
      </c>
      <c r="G294">
        <v>824698.69075876998</v>
      </c>
      <c r="H294">
        <v>807044.07</v>
      </c>
      <c r="I294">
        <v>17654.620758770299</v>
      </c>
      <c r="J294">
        <v>2.18756588580972E-2</v>
      </c>
      <c r="K294">
        <v>17654.620758770299</v>
      </c>
      <c r="L294">
        <v>2.18756588580972E-2</v>
      </c>
    </row>
    <row r="295" spans="1:12" hidden="1" x14ac:dyDescent="0.35">
      <c r="A295" t="s">
        <v>18</v>
      </c>
      <c r="B295">
        <v>2019</v>
      </c>
      <c r="C295">
        <v>9</v>
      </c>
      <c r="D295" t="s">
        <v>13</v>
      </c>
      <c r="E295" t="s">
        <v>14</v>
      </c>
      <c r="F295" t="s">
        <v>15</v>
      </c>
      <c r="G295">
        <v>283248.58716718102</v>
      </c>
      <c r="H295">
        <v>270168.31</v>
      </c>
      <c r="I295">
        <v>13080.277167181401</v>
      </c>
      <c r="J295">
        <v>4.84152903320949E-2</v>
      </c>
      <c r="K295">
        <v>13080.277167181401</v>
      </c>
      <c r="L295">
        <v>4.84152903320949E-2</v>
      </c>
    </row>
    <row r="296" spans="1:12" hidden="1" x14ac:dyDescent="0.35">
      <c r="A296" t="s">
        <v>19</v>
      </c>
      <c r="B296">
        <v>2019</v>
      </c>
      <c r="C296">
        <v>9</v>
      </c>
      <c r="D296" t="s">
        <v>13</v>
      </c>
      <c r="E296" t="s">
        <v>14</v>
      </c>
      <c r="F296" t="s">
        <v>15</v>
      </c>
      <c r="G296">
        <v>1408846.50572674</v>
      </c>
      <c r="H296">
        <v>1421288.11</v>
      </c>
      <c r="I296">
        <v>-12441.604273253501</v>
      </c>
      <c r="J296">
        <v>-8.7537524487231403E-3</v>
      </c>
      <c r="K296">
        <v>12441.604273253501</v>
      </c>
      <c r="L296">
        <v>8.7537524487231403E-3</v>
      </c>
    </row>
    <row r="297" spans="1:12" hidden="1" x14ac:dyDescent="0.35">
      <c r="A297" t="s">
        <v>12</v>
      </c>
      <c r="B297">
        <v>2020</v>
      </c>
      <c r="C297">
        <v>9</v>
      </c>
      <c r="D297" t="s">
        <v>13</v>
      </c>
      <c r="E297" t="s">
        <v>14</v>
      </c>
      <c r="F297" t="s">
        <v>15</v>
      </c>
      <c r="G297">
        <v>1299618.4538763999</v>
      </c>
      <c r="H297">
        <v>1349723.01</v>
      </c>
      <c r="I297">
        <v>-50104.556123597002</v>
      </c>
      <c r="J297">
        <v>-3.7122102648006999E-2</v>
      </c>
      <c r="K297">
        <v>50104.556123597002</v>
      </c>
      <c r="L297">
        <v>3.7122102648006999E-2</v>
      </c>
    </row>
    <row r="298" spans="1:12" hidden="1" x14ac:dyDescent="0.35">
      <c r="A298" t="s">
        <v>16</v>
      </c>
      <c r="B298">
        <v>2020</v>
      </c>
      <c r="C298">
        <v>9</v>
      </c>
      <c r="D298" t="s">
        <v>13</v>
      </c>
      <c r="E298" t="s">
        <v>14</v>
      </c>
      <c r="F298" t="s">
        <v>15</v>
      </c>
      <c r="G298">
        <v>673489.72675659799</v>
      </c>
      <c r="H298">
        <v>761883.04</v>
      </c>
      <c r="I298">
        <v>-88393.313243401994</v>
      </c>
      <c r="J298">
        <v>-0.116019531348803</v>
      </c>
      <c r="K298">
        <v>88393.313243401994</v>
      </c>
      <c r="L298">
        <v>0.116019531348803</v>
      </c>
    </row>
    <row r="299" spans="1:12" hidden="1" x14ac:dyDescent="0.35">
      <c r="A299" t="s">
        <v>17</v>
      </c>
      <c r="B299">
        <v>2020</v>
      </c>
      <c r="C299">
        <v>9</v>
      </c>
      <c r="D299" t="s">
        <v>13</v>
      </c>
      <c r="E299" t="s">
        <v>14</v>
      </c>
      <c r="F299" t="s">
        <v>15</v>
      </c>
      <c r="G299">
        <v>1072514.9074053001</v>
      </c>
      <c r="H299">
        <v>1144854.92</v>
      </c>
      <c r="I299">
        <v>-72340.012594695203</v>
      </c>
      <c r="J299">
        <v>-6.3187056570185501E-2</v>
      </c>
      <c r="K299">
        <v>72340.012594695203</v>
      </c>
      <c r="L299">
        <v>6.3187056570185501E-2</v>
      </c>
    </row>
    <row r="300" spans="1:12" hidden="1" x14ac:dyDescent="0.35">
      <c r="A300" t="s">
        <v>18</v>
      </c>
      <c r="B300">
        <v>2020</v>
      </c>
      <c r="C300">
        <v>9</v>
      </c>
      <c r="D300" t="s">
        <v>13</v>
      </c>
      <c r="E300" t="s">
        <v>14</v>
      </c>
      <c r="F300" t="s">
        <v>15</v>
      </c>
      <c r="G300">
        <v>333817.74477408302</v>
      </c>
      <c r="H300">
        <v>377322.86</v>
      </c>
      <c r="I300">
        <v>-43505.115225916001</v>
      </c>
      <c r="J300">
        <v>-0.115299442037294</v>
      </c>
      <c r="K300">
        <v>43505.115225916001</v>
      </c>
      <c r="L300">
        <v>0.115299442037294</v>
      </c>
    </row>
    <row r="301" spans="1:12" hidden="1" x14ac:dyDescent="0.35">
      <c r="A301" t="s">
        <v>19</v>
      </c>
      <c r="B301">
        <v>2020</v>
      </c>
      <c r="C301">
        <v>9</v>
      </c>
      <c r="D301" t="s">
        <v>13</v>
      </c>
      <c r="E301" t="s">
        <v>14</v>
      </c>
      <c r="F301" t="s">
        <v>15</v>
      </c>
      <c r="G301">
        <v>1663488.98452605</v>
      </c>
      <c r="H301">
        <v>1797486.11</v>
      </c>
      <c r="I301">
        <v>-133997.125473947</v>
      </c>
      <c r="J301">
        <v>-7.4546960184269498E-2</v>
      </c>
      <c r="K301">
        <v>133997.125473947</v>
      </c>
      <c r="L301">
        <v>7.4546960184269498E-2</v>
      </c>
    </row>
    <row r="302" spans="1:12" hidden="1" x14ac:dyDescent="0.35">
      <c r="A302" t="s">
        <v>12</v>
      </c>
      <c r="B302">
        <v>2021</v>
      </c>
      <c r="C302">
        <v>9</v>
      </c>
      <c r="D302" t="s">
        <v>13</v>
      </c>
      <c r="E302" t="s">
        <v>14</v>
      </c>
      <c r="F302" t="s">
        <v>15</v>
      </c>
      <c r="G302">
        <v>1385318.7728780301</v>
      </c>
      <c r="H302">
        <v>1382119.93</v>
      </c>
      <c r="I302">
        <v>3198.8428780341001</v>
      </c>
      <c r="J302">
        <v>2.3144466761535702E-3</v>
      </c>
      <c r="K302">
        <v>3198.8428780341001</v>
      </c>
      <c r="L302">
        <v>2.3144466761535702E-3</v>
      </c>
    </row>
    <row r="303" spans="1:12" hidden="1" x14ac:dyDescent="0.35">
      <c r="A303" t="s">
        <v>16</v>
      </c>
      <c r="B303">
        <v>2021</v>
      </c>
      <c r="C303">
        <v>9</v>
      </c>
      <c r="D303" t="s">
        <v>13</v>
      </c>
      <c r="E303" t="s">
        <v>14</v>
      </c>
      <c r="F303" t="s">
        <v>15</v>
      </c>
      <c r="G303">
        <v>830871.404510936</v>
      </c>
      <c r="H303">
        <v>754620.83</v>
      </c>
      <c r="I303">
        <v>76250.574510936494</v>
      </c>
      <c r="J303">
        <v>0.10104488437052001</v>
      </c>
      <c r="K303">
        <v>76250.574510936494</v>
      </c>
      <c r="L303">
        <v>0.10104488437052001</v>
      </c>
    </row>
    <row r="304" spans="1:12" hidden="1" x14ac:dyDescent="0.35">
      <c r="A304" t="s">
        <v>17</v>
      </c>
      <c r="B304">
        <v>2021</v>
      </c>
      <c r="C304">
        <v>9</v>
      </c>
      <c r="D304" t="s">
        <v>13</v>
      </c>
      <c r="E304" t="s">
        <v>14</v>
      </c>
      <c r="F304" t="s">
        <v>15</v>
      </c>
      <c r="G304">
        <v>1239250.1504516399</v>
      </c>
      <c r="H304">
        <v>1039859.75</v>
      </c>
      <c r="I304">
        <v>199390.40045164101</v>
      </c>
      <c r="J304">
        <v>0.19174739713854799</v>
      </c>
      <c r="K304">
        <v>199390.40045164101</v>
      </c>
      <c r="L304">
        <v>0.19174739713854799</v>
      </c>
    </row>
    <row r="305" spans="1:12" hidden="1" x14ac:dyDescent="0.35">
      <c r="A305" t="s">
        <v>18</v>
      </c>
      <c r="B305">
        <v>2021</v>
      </c>
      <c r="C305">
        <v>9</v>
      </c>
      <c r="D305" t="s">
        <v>13</v>
      </c>
      <c r="E305" t="s">
        <v>14</v>
      </c>
      <c r="F305" t="s">
        <v>15</v>
      </c>
      <c r="G305">
        <v>403654.55348291999</v>
      </c>
      <c r="H305">
        <v>352474.34</v>
      </c>
      <c r="I305">
        <v>51180.213482920699</v>
      </c>
      <c r="J305">
        <v>0.14520266491716999</v>
      </c>
      <c r="K305">
        <v>51180.213482920699</v>
      </c>
      <c r="L305">
        <v>0.14520266491716999</v>
      </c>
    </row>
    <row r="306" spans="1:12" hidden="1" x14ac:dyDescent="0.35">
      <c r="A306" t="s">
        <v>19</v>
      </c>
      <c r="B306">
        <v>2021</v>
      </c>
      <c r="C306">
        <v>9</v>
      </c>
      <c r="D306" t="s">
        <v>13</v>
      </c>
      <c r="E306" t="s">
        <v>14</v>
      </c>
      <c r="F306" t="s">
        <v>15</v>
      </c>
      <c r="G306">
        <v>1859687.12846016</v>
      </c>
      <c r="H306">
        <v>1677803.56</v>
      </c>
      <c r="I306">
        <v>181883.56846016599</v>
      </c>
      <c r="J306">
        <v>0.10840575905093799</v>
      </c>
      <c r="K306">
        <v>181883.56846016599</v>
      </c>
      <c r="L306">
        <v>0.10840575905093799</v>
      </c>
    </row>
    <row r="307" spans="1:12" hidden="1" x14ac:dyDescent="0.35">
      <c r="A307" t="s">
        <v>12</v>
      </c>
      <c r="B307">
        <v>2022</v>
      </c>
      <c r="C307">
        <v>9</v>
      </c>
      <c r="D307" t="s">
        <v>13</v>
      </c>
      <c r="E307" t="s">
        <v>14</v>
      </c>
      <c r="F307" t="s">
        <v>15</v>
      </c>
      <c r="G307">
        <v>1441997.1873594299</v>
      </c>
      <c r="H307">
        <v>1409120</v>
      </c>
      <c r="I307">
        <v>32877.187359437499</v>
      </c>
      <c r="J307">
        <v>2.3331715793855401E-2</v>
      </c>
      <c r="K307">
        <v>32877.187359437499</v>
      </c>
      <c r="L307">
        <v>2.3331715793855401E-2</v>
      </c>
    </row>
    <row r="308" spans="1:12" hidden="1" x14ac:dyDescent="0.35">
      <c r="A308" t="s">
        <v>16</v>
      </c>
      <c r="B308">
        <v>2022</v>
      </c>
      <c r="C308">
        <v>9</v>
      </c>
      <c r="D308" t="s">
        <v>13</v>
      </c>
      <c r="E308" t="s">
        <v>14</v>
      </c>
      <c r="F308" t="s">
        <v>15</v>
      </c>
      <c r="G308">
        <v>786089.37377156096</v>
      </c>
      <c r="H308">
        <v>787750</v>
      </c>
      <c r="I308">
        <v>-1660.62622843892</v>
      </c>
      <c r="J308">
        <v>-2.1080624924645101E-3</v>
      </c>
      <c r="K308">
        <v>1660.62622843892</v>
      </c>
      <c r="L308">
        <v>2.1080624924645101E-3</v>
      </c>
    </row>
    <row r="309" spans="1:12" hidden="1" x14ac:dyDescent="0.35">
      <c r="A309" t="s">
        <v>17</v>
      </c>
      <c r="B309">
        <v>2022</v>
      </c>
      <c r="C309">
        <v>9</v>
      </c>
      <c r="D309" t="s">
        <v>13</v>
      </c>
      <c r="E309" t="s">
        <v>14</v>
      </c>
      <c r="F309" t="s">
        <v>15</v>
      </c>
      <c r="G309">
        <v>1019687.01480499</v>
      </c>
      <c r="H309">
        <v>1097033</v>
      </c>
      <c r="I309">
        <v>-77345.985195004803</v>
      </c>
      <c r="J309">
        <v>-7.0504702406404204E-2</v>
      </c>
      <c r="K309">
        <v>77345.985195004803</v>
      </c>
      <c r="L309">
        <v>7.0504702406404204E-2</v>
      </c>
    </row>
    <row r="310" spans="1:12" hidden="1" x14ac:dyDescent="0.35">
      <c r="A310" t="s">
        <v>18</v>
      </c>
      <c r="B310">
        <v>2022</v>
      </c>
      <c r="C310">
        <v>9</v>
      </c>
      <c r="D310" t="s">
        <v>13</v>
      </c>
      <c r="E310" t="s">
        <v>14</v>
      </c>
      <c r="F310" t="s">
        <v>15</v>
      </c>
      <c r="G310">
        <v>355220.56690548401</v>
      </c>
      <c r="H310">
        <v>363164</v>
      </c>
      <c r="I310">
        <v>-7943.4330945153397</v>
      </c>
      <c r="J310">
        <v>-2.18728538470645E-2</v>
      </c>
      <c r="K310">
        <v>7943.4330945153397</v>
      </c>
      <c r="L310">
        <v>2.18728538470645E-2</v>
      </c>
    </row>
    <row r="311" spans="1:12" hidden="1" x14ac:dyDescent="0.35">
      <c r="A311" t="s">
        <v>19</v>
      </c>
      <c r="B311">
        <v>2022</v>
      </c>
      <c r="C311">
        <v>9</v>
      </c>
      <c r="D311" t="s">
        <v>13</v>
      </c>
      <c r="E311" t="s">
        <v>14</v>
      </c>
      <c r="F311" t="s">
        <v>15</v>
      </c>
      <c r="G311">
        <v>1806029.2954766101</v>
      </c>
      <c r="H311">
        <v>1501498</v>
      </c>
      <c r="I311">
        <v>304531.29547661799</v>
      </c>
      <c r="J311">
        <v>0.20281831575973999</v>
      </c>
      <c r="K311">
        <v>304531.29547661799</v>
      </c>
      <c r="L311">
        <v>0.20281831575973999</v>
      </c>
    </row>
    <row r="312" spans="1:12" hidden="1" x14ac:dyDescent="0.35">
      <c r="A312" t="s">
        <v>12</v>
      </c>
      <c r="B312">
        <v>2023</v>
      </c>
      <c r="C312">
        <v>9</v>
      </c>
      <c r="D312" t="s">
        <v>13</v>
      </c>
      <c r="E312" t="s">
        <v>14</v>
      </c>
      <c r="F312" t="s">
        <v>15</v>
      </c>
      <c r="G312">
        <v>1450834.07836322</v>
      </c>
      <c r="H312">
        <v>1521000</v>
      </c>
      <c r="I312">
        <v>-70165.9216367763</v>
      </c>
      <c r="J312">
        <v>-4.6131440918327597E-2</v>
      </c>
      <c r="K312">
        <v>70165.9216367763</v>
      </c>
      <c r="L312">
        <v>4.6131440918327597E-2</v>
      </c>
    </row>
    <row r="313" spans="1:12" hidden="1" x14ac:dyDescent="0.35">
      <c r="A313" t="s">
        <v>16</v>
      </c>
      <c r="B313">
        <v>2023</v>
      </c>
      <c r="C313">
        <v>9</v>
      </c>
      <c r="D313" t="s">
        <v>13</v>
      </c>
      <c r="E313" t="s">
        <v>14</v>
      </c>
      <c r="F313" t="s">
        <v>15</v>
      </c>
      <c r="G313">
        <v>774583.22341082897</v>
      </c>
      <c r="H313">
        <v>929000</v>
      </c>
      <c r="I313">
        <v>-154416.77658917001</v>
      </c>
      <c r="J313">
        <v>-0.16621827404646899</v>
      </c>
      <c r="K313">
        <v>154416.77658917001</v>
      </c>
      <c r="L313">
        <v>0.16621827404646899</v>
      </c>
    </row>
    <row r="314" spans="1:12" hidden="1" x14ac:dyDescent="0.35">
      <c r="A314" t="s">
        <v>17</v>
      </c>
      <c r="B314">
        <v>2023</v>
      </c>
      <c r="C314">
        <v>9</v>
      </c>
      <c r="D314" t="s">
        <v>13</v>
      </c>
      <c r="E314" t="s">
        <v>14</v>
      </c>
      <c r="F314" t="s">
        <v>15</v>
      </c>
      <c r="G314">
        <v>1037307.21881359</v>
      </c>
      <c r="H314">
        <v>1353000</v>
      </c>
      <c r="I314">
        <v>-315692.781186404</v>
      </c>
      <c r="J314">
        <v>-0.23332799792047601</v>
      </c>
      <c r="K314">
        <v>315692.781186404</v>
      </c>
      <c r="L314">
        <v>0.23332799792047601</v>
      </c>
    </row>
    <row r="315" spans="1:12" hidden="1" x14ac:dyDescent="0.35">
      <c r="A315" t="s">
        <v>18</v>
      </c>
      <c r="B315">
        <v>2023</v>
      </c>
      <c r="C315">
        <v>9</v>
      </c>
      <c r="D315" t="s">
        <v>13</v>
      </c>
      <c r="E315" t="s">
        <v>14</v>
      </c>
      <c r="F315" t="s">
        <v>15</v>
      </c>
      <c r="G315">
        <v>353115.19087477098</v>
      </c>
      <c r="H315">
        <v>445000</v>
      </c>
      <c r="I315">
        <v>-91884.809125228901</v>
      </c>
      <c r="J315">
        <v>-0.206482717135345</v>
      </c>
      <c r="K315">
        <v>91884.809125228901</v>
      </c>
      <c r="L315">
        <v>0.206482717135345</v>
      </c>
    </row>
    <row r="316" spans="1:12" hidden="1" x14ac:dyDescent="0.35">
      <c r="A316" t="s">
        <v>19</v>
      </c>
      <c r="B316">
        <v>2023</v>
      </c>
      <c r="C316">
        <v>9</v>
      </c>
      <c r="D316" t="s">
        <v>13</v>
      </c>
      <c r="E316" t="s">
        <v>14</v>
      </c>
      <c r="F316" t="s">
        <v>15</v>
      </c>
      <c r="G316">
        <v>1434030.2028256999</v>
      </c>
      <c r="H316">
        <v>1728000</v>
      </c>
      <c r="I316">
        <v>-293969.79717430001</v>
      </c>
      <c r="J316">
        <v>-0.17012141040179399</v>
      </c>
      <c r="K316">
        <v>293969.79717430001</v>
      </c>
      <c r="L316">
        <v>0.17012141040179399</v>
      </c>
    </row>
    <row r="317" spans="1:12" hidden="1" x14ac:dyDescent="0.35">
      <c r="A317" t="s">
        <v>12</v>
      </c>
      <c r="B317">
        <v>2017</v>
      </c>
      <c r="C317">
        <v>10</v>
      </c>
      <c r="D317" t="s">
        <v>13</v>
      </c>
      <c r="E317" t="s">
        <v>14</v>
      </c>
      <c r="F317" t="s">
        <v>15</v>
      </c>
      <c r="G317">
        <v>1027741.81105909</v>
      </c>
      <c r="H317">
        <v>1011269</v>
      </c>
      <c r="I317">
        <v>16472.811059096999</v>
      </c>
      <c r="J317">
        <v>1.6289247528696101E-2</v>
      </c>
      <c r="K317">
        <v>16472.811059096999</v>
      </c>
      <c r="L317">
        <v>1.6289247528696101E-2</v>
      </c>
    </row>
    <row r="318" spans="1:12" hidden="1" x14ac:dyDescent="0.35">
      <c r="A318" t="s">
        <v>16</v>
      </c>
      <c r="B318">
        <v>2017</v>
      </c>
      <c r="C318">
        <v>10</v>
      </c>
      <c r="D318" t="s">
        <v>13</v>
      </c>
      <c r="E318" t="s">
        <v>14</v>
      </c>
      <c r="F318" t="s">
        <v>15</v>
      </c>
      <c r="G318">
        <v>406238.63876275398</v>
      </c>
      <c r="H318">
        <v>410364</v>
      </c>
      <c r="I318">
        <v>-4125.3612372451998</v>
      </c>
      <c r="J318">
        <v>-1.0052931634464E-2</v>
      </c>
      <c r="K318">
        <v>4125.3612372451998</v>
      </c>
      <c r="L318">
        <v>1.0052931634464E-2</v>
      </c>
    </row>
    <row r="319" spans="1:12" hidden="1" x14ac:dyDescent="0.35">
      <c r="A319" t="s">
        <v>17</v>
      </c>
      <c r="B319">
        <v>2017</v>
      </c>
      <c r="C319">
        <v>10</v>
      </c>
      <c r="D319" t="s">
        <v>13</v>
      </c>
      <c r="E319" t="s">
        <v>14</v>
      </c>
      <c r="F319" t="s">
        <v>15</v>
      </c>
      <c r="G319">
        <v>684952.95025641599</v>
      </c>
      <c r="H319">
        <v>875484</v>
      </c>
      <c r="I319">
        <v>-190531.04974358299</v>
      </c>
      <c r="J319">
        <v>-0.21762939099239101</v>
      </c>
      <c r="K319">
        <v>190531.04974358299</v>
      </c>
      <c r="L319">
        <v>0.21762939099239101</v>
      </c>
    </row>
    <row r="320" spans="1:12" hidden="1" x14ac:dyDescent="0.35">
      <c r="A320" t="s">
        <v>18</v>
      </c>
      <c r="B320">
        <v>2017</v>
      </c>
      <c r="C320">
        <v>10</v>
      </c>
      <c r="D320" t="s">
        <v>13</v>
      </c>
      <c r="E320" t="s">
        <v>14</v>
      </c>
      <c r="F320" t="s">
        <v>15</v>
      </c>
      <c r="G320">
        <v>203048.45820935699</v>
      </c>
      <c r="H320">
        <v>215491</v>
      </c>
      <c r="I320">
        <v>-12442.541790642401</v>
      </c>
      <c r="J320">
        <v>-5.7740424382653803E-2</v>
      </c>
      <c r="K320">
        <v>12442.541790642401</v>
      </c>
      <c r="L320">
        <v>5.7740424382653803E-2</v>
      </c>
    </row>
    <row r="321" spans="1:12" hidden="1" x14ac:dyDescent="0.35">
      <c r="A321" t="s">
        <v>19</v>
      </c>
      <c r="B321">
        <v>2017</v>
      </c>
      <c r="C321">
        <v>10</v>
      </c>
      <c r="D321" t="s">
        <v>13</v>
      </c>
      <c r="E321" t="s">
        <v>14</v>
      </c>
      <c r="F321" t="s">
        <v>15</v>
      </c>
      <c r="G321">
        <v>537420.87999009201</v>
      </c>
      <c r="H321">
        <v>1405223</v>
      </c>
      <c r="I321">
        <v>-867802.12000990706</v>
      </c>
      <c r="J321">
        <v>-0.61755473687087903</v>
      </c>
      <c r="K321">
        <v>867802.12000990706</v>
      </c>
      <c r="L321">
        <v>0.61755473687087903</v>
      </c>
    </row>
    <row r="322" spans="1:12" hidden="1" x14ac:dyDescent="0.35">
      <c r="A322" t="s">
        <v>12</v>
      </c>
      <c r="B322">
        <v>2018</v>
      </c>
      <c r="C322">
        <v>10</v>
      </c>
      <c r="D322" t="s">
        <v>13</v>
      </c>
      <c r="E322" t="s">
        <v>14</v>
      </c>
      <c r="F322" t="s">
        <v>15</v>
      </c>
      <c r="G322">
        <v>1010994.48563209</v>
      </c>
      <c r="H322">
        <v>1206587.27</v>
      </c>
      <c r="I322">
        <v>-195592.78436789999</v>
      </c>
      <c r="J322">
        <v>-0.162104133891533</v>
      </c>
      <c r="K322">
        <v>195592.78436789999</v>
      </c>
      <c r="L322">
        <v>0.162104133891533</v>
      </c>
    </row>
    <row r="323" spans="1:12" hidden="1" x14ac:dyDescent="0.35">
      <c r="A323" t="s">
        <v>16</v>
      </c>
      <c r="B323">
        <v>2018</v>
      </c>
      <c r="C323">
        <v>10</v>
      </c>
      <c r="D323" t="s">
        <v>13</v>
      </c>
      <c r="E323" t="s">
        <v>14</v>
      </c>
      <c r="F323" t="s">
        <v>15</v>
      </c>
      <c r="G323">
        <v>419589.66822443198</v>
      </c>
      <c r="H323">
        <v>485672.51</v>
      </c>
      <c r="I323">
        <v>-66082.841775567998</v>
      </c>
      <c r="J323">
        <v>-0.13606461229516101</v>
      </c>
      <c r="K323">
        <v>66082.841775567998</v>
      </c>
      <c r="L323">
        <v>0.13606461229516101</v>
      </c>
    </row>
    <row r="324" spans="1:12" hidden="1" x14ac:dyDescent="0.35">
      <c r="A324" t="s">
        <v>17</v>
      </c>
      <c r="B324">
        <v>2018</v>
      </c>
      <c r="C324">
        <v>10</v>
      </c>
      <c r="D324" t="s">
        <v>13</v>
      </c>
      <c r="E324" t="s">
        <v>14</v>
      </c>
      <c r="F324" t="s">
        <v>15</v>
      </c>
      <c r="G324">
        <v>860155.37800650997</v>
      </c>
      <c r="H324">
        <v>897574.18</v>
      </c>
      <c r="I324">
        <v>-37418.801993489302</v>
      </c>
      <c r="J324">
        <v>-4.1688812832705702E-2</v>
      </c>
      <c r="K324">
        <v>37418.801993489302</v>
      </c>
      <c r="L324">
        <v>4.1688812832705702E-2</v>
      </c>
    </row>
    <row r="325" spans="1:12" hidden="1" x14ac:dyDescent="0.35">
      <c r="A325" t="s">
        <v>18</v>
      </c>
      <c r="B325">
        <v>2018</v>
      </c>
      <c r="C325">
        <v>10</v>
      </c>
      <c r="D325" t="s">
        <v>13</v>
      </c>
      <c r="E325" t="s">
        <v>14</v>
      </c>
      <c r="F325" t="s">
        <v>15</v>
      </c>
      <c r="G325">
        <v>207950.30809576</v>
      </c>
      <c r="H325">
        <v>295463.11</v>
      </c>
      <c r="I325">
        <v>-87512.801904239503</v>
      </c>
      <c r="J325">
        <v>-0.296188589852179</v>
      </c>
      <c r="K325">
        <v>87512.801904239503</v>
      </c>
      <c r="L325">
        <v>0.296188589852179</v>
      </c>
    </row>
    <row r="326" spans="1:12" hidden="1" x14ac:dyDescent="0.35">
      <c r="A326" t="s">
        <v>19</v>
      </c>
      <c r="B326">
        <v>2018</v>
      </c>
      <c r="C326">
        <v>10</v>
      </c>
      <c r="D326" t="s">
        <v>13</v>
      </c>
      <c r="E326" t="s">
        <v>14</v>
      </c>
      <c r="F326" t="s">
        <v>15</v>
      </c>
      <c r="G326">
        <v>1401965.0786941799</v>
      </c>
      <c r="H326">
        <v>1500588.37</v>
      </c>
      <c r="I326">
        <v>-98623.291305817897</v>
      </c>
      <c r="J326">
        <v>-6.5723081211017095E-2</v>
      </c>
      <c r="K326">
        <v>98623.291305817897</v>
      </c>
      <c r="L326">
        <v>6.5723081211017095E-2</v>
      </c>
    </row>
    <row r="327" spans="1:12" hidden="1" x14ac:dyDescent="0.35">
      <c r="A327" t="s">
        <v>12</v>
      </c>
      <c r="B327">
        <v>2019</v>
      </c>
      <c r="C327">
        <v>10</v>
      </c>
      <c r="D327" t="s">
        <v>13</v>
      </c>
      <c r="E327" t="s">
        <v>14</v>
      </c>
      <c r="F327" t="s">
        <v>15</v>
      </c>
      <c r="G327">
        <v>1189407.33101113</v>
      </c>
      <c r="H327">
        <v>1155730.28</v>
      </c>
      <c r="I327">
        <v>33677.051011137599</v>
      </c>
      <c r="J327">
        <v>2.91391958780708E-2</v>
      </c>
      <c r="K327">
        <v>33677.051011137599</v>
      </c>
      <c r="L327">
        <v>2.91391958780708E-2</v>
      </c>
    </row>
    <row r="328" spans="1:12" hidden="1" x14ac:dyDescent="0.35">
      <c r="A328" t="s">
        <v>16</v>
      </c>
      <c r="B328">
        <v>2019</v>
      </c>
      <c r="C328">
        <v>10</v>
      </c>
      <c r="D328" t="s">
        <v>13</v>
      </c>
      <c r="E328" t="s">
        <v>14</v>
      </c>
      <c r="F328" t="s">
        <v>15</v>
      </c>
      <c r="G328">
        <v>445601.30017214402</v>
      </c>
      <c r="H328">
        <v>530704.97</v>
      </c>
      <c r="I328">
        <v>-85103.669827855498</v>
      </c>
      <c r="J328">
        <v>-0.16035966240876801</v>
      </c>
      <c r="K328">
        <v>85103.669827855498</v>
      </c>
      <c r="L328">
        <v>0.16035966240876801</v>
      </c>
    </row>
    <row r="329" spans="1:12" hidden="1" x14ac:dyDescent="0.35">
      <c r="A329" t="s">
        <v>17</v>
      </c>
      <c r="B329">
        <v>2019</v>
      </c>
      <c r="C329">
        <v>10</v>
      </c>
      <c r="D329" t="s">
        <v>13</v>
      </c>
      <c r="E329" t="s">
        <v>14</v>
      </c>
      <c r="F329" t="s">
        <v>15</v>
      </c>
      <c r="G329">
        <v>772088.05073087197</v>
      </c>
      <c r="H329">
        <v>807044.07</v>
      </c>
      <c r="I329">
        <v>-34956.019269127901</v>
      </c>
      <c r="J329">
        <v>-4.33136436640046E-2</v>
      </c>
      <c r="K329">
        <v>34956.019269127901</v>
      </c>
      <c r="L329">
        <v>4.33136436640046E-2</v>
      </c>
    </row>
    <row r="330" spans="1:12" hidden="1" x14ac:dyDescent="0.35">
      <c r="A330" t="s">
        <v>18</v>
      </c>
      <c r="B330">
        <v>2019</v>
      </c>
      <c r="C330">
        <v>10</v>
      </c>
      <c r="D330" t="s">
        <v>13</v>
      </c>
      <c r="E330" t="s">
        <v>14</v>
      </c>
      <c r="F330" t="s">
        <v>15</v>
      </c>
      <c r="G330">
        <v>271855.43093562103</v>
      </c>
      <c r="H330">
        <v>270168.31</v>
      </c>
      <c r="I330">
        <v>1687.1209356212601</v>
      </c>
      <c r="J330">
        <v>6.24470329485076E-3</v>
      </c>
      <c r="K330">
        <v>1687.1209356212601</v>
      </c>
      <c r="L330">
        <v>6.24470329485076E-3</v>
      </c>
    </row>
    <row r="331" spans="1:12" hidden="1" x14ac:dyDescent="0.35">
      <c r="A331" t="s">
        <v>19</v>
      </c>
      <c r="B331">
        <v>2019</v>
      </c>
      <c r="C331">
        <v>10</v>
      </c>
      <c r="D331" t="s">
        <v>13</v>
      </c>
      <c r="E331" t="s">
        <v>14</v>
      </c>
      <c r="F331" t="s">
        <v>15</v>
      </c>
      <c r="G331">
        <v>1405918.51600435</v>
      </c>
      <c r="H331">
        <v>1421288.11</v>
      </c>
      <c r="I331">
        <v>-15369.593995642999</v>
      </c>
      <c r="J331">
        <v>-1.0813848288397401E-2</v>
      </c>
      <c r="K331">
        <v>15369.593995642999</v>
      </c>
      <c r="L331">
        <v>1.0813848288397401E-2</v>
      </c>
    </row>
    <row r="332" spans="1:12" hidden="1" x14ac:dyDescent="0.35">
      <c r="A332" t="s">
        <v>12</v>
      </c>
      <c r="B332">
        <v>2020</v>
      </c>
      <c r="C332">
        <v>10</v>
      </c>
      <c r="D332" t="s">
        <v>13</v>
      </c>
      <c r="E332" t="s">
        <v>14</v>
      </c>
      <c r="F332" t="s">
        <v>15</v>
      </c>
      <c r="G332">
        <v>1382549.14925856</v>
      </c>
      <c r="H332">
        <v>1349723.01</v>
      </c>
      <c r="I332">
        <v>32826.139258566996</v>
      </c>
      <c r="J332">
        <v>2.43206487667177E-2</v>
      </c>
      <c r="K332">
        <v>32826.139258566996</v>
      </c>
      <c r="L332">
        <v>2.43206487667177E-2</v>
      </c>
    </row>
    <row r="333" spans="1:12" hidden="1" x14ac:dyDescent="0.35">
      <c r="A333" t="s">
        <v>16</v>
      </c>
      <c r="B333">
        <v>2020</v>
      </c>
      <c r="C333">
        <v>10</v>
      </c>
      <c r="D333" t="s">
        <v>13</v>
      </c>
      <c r="E333" t="s">
        <v>14</v>
      </c>
      <c r="F333" t="s">
        <v>15</v>
      </c>
      <c r="G333">
        <v>730194.89475116006</v>
      </c>
      <c r="H333">
        <v>761883.04</v>
      </c>
      <c r="I333">
        <v>-31688.145248839399</v>
      </c>
      <c r="J333">
        <v>-4.15918764234985E-2</v>
      </c>
      <c r="K333">
        <v>31688.145248839399</v>
      </c>
      <c r="L333">
        <v>4.15918764234985E-2</v>
      </c>
    </row>
    <row r="334" spans="1:12" hidden="1" x14ac:dyDescent="0.35">
      <c r="A334" t="s">
        <v>17</v>
      </c>
      <c r="B334">
        <v>2020</v>
      </c>
      <c r="C334">
        <v>10</v>
      </c>
      <c r="D334" t="s">
        <v>13</v>
      </c>
      <c r="E334" t="s">
        <v>14</v>
      </c>
      <c r="F334" t="s">
        <v>15</v>
      </c>
      <c r="G334">
        <v>1207995.48719791</v>
      </c>
      <c r="H334">
        <v>1144854.92</v>
      </c>
      <c r="I334">
        <v>63140.567197912802</v>
      </c>
      <c r="J334">
        <v>5.5151588288507997E-2</v>
      </c>
      <c r="K334">
        <v>63140.567197912802</v>
      </c>
      <c r="L334">
        <v>5.5151588288507997E-2</v>
      </c>
    </row>
    <row r="335" spans="1:12" hidden="1" x14ac:dyDescent="0.35">
      <c r="A335" t="s">
        <v>18</v>
      </c>
      <c r="B335">
        <v>2020</v>
      </c>
      <c r="C335">
        <v>10</v>
      </c>
      <c r="D335" t="s">
        <v>13</v>
      </c>
      <c r="E335" t="s">
        <v>14</v>
      </c>
      <c r="F335" t="s">
        <v>15</v>
      </c>
      <c r="G335">
        <v>372962.24536313198</v>
      </c>
      <c r="H335">
        <v>377322.86</v>
      </c>
      <c r="I335">
        <v>-4360.61463686754</v>
      </c>
      <c r="J335">
        <v>-1.1556719984756599E-2</v>
      </c>
      <c r="K335">
        <v>4360.61463686754</v>
      </c>
      <c r="L335">
        <v>1.1556719984756599E-2</v>
      </c>
    </row>
    <row r="336" spans="1:12" hidden="1" x14ac:dyDescent="0.35">
      <c r="A336" t="s">
        <v>19</v>
      </c>
      <c r="B336">
        <v>2020</v>
      </c>
      <c r="C336">
        <v>10</v>
      </c>
      <c r="D336" t="s">
        <v>13</v>
      </c>
      <c r="E336" t="s">
        <v>14</v>
      </c>
      <c r="F336" t="s">
        <v>15</v>
      </c>
      <c r="G336">
        <v>1754576.59596515</v>
      </c>
      <c r="H336">
        <v>1797486.11</v>
      </c>
      <c r="I336">
        <v>-42909.514034849097</v>
      </c>
      <c r="J336">
        <v>-2.3871958618277699E-2</v>
      </c>
      <c r="K336">
        <v>42909.514034849097</v>
      </c>
      <c r="L336">
        <v>2.3871958618277699E-2</v>
      </c>
    </row>
    <row r="337" spans="1:12" hidden="1" x14ac:dyDescent="0.35">
      <c r="A337" t="s">
        <v>12</v>
      </c>
      <c r="B337">
        <v>2021</v>
      </c>
      <c r="C337">
        <v>10</v>
      </c>
      <c r="D337" t="s">
        <v>13</v>
      </c>
      <c r="E337" t="s">
        <v>14</v>
      </c>
      <c r="F337" t="s">
        <v>15</v>
      </c>
      <c r="G337">
        <v>1413355.33503695</v>
      </c>
      <c r="H337">
        <v>1382119.93</v>
      </c>
      <c r="I337">
        <v>31235.405036955301</v>
      </c>
      <c r="J337">
        <v>2.25996343435662E-2</v>
      </c>
      <c r="K337">
        <v>31235.405036955301</v>
      </c>
      <c r="L337">
        <v>2.25996343435662E-2</v>
      </c>
    </row>
    <row r="338" spans="1:12" hidden="1" x14ac:dyDescent="0.35">
      <c r="A338" t="s">
        <v>16</v>
      </c>
      <c r="B338">
        <v>2021</v>
      </c>
      <c r="C338">
        <v>10</v>
      </c>
      <c r="D338" t="s">
        <v>13</v>
      </c>
      <c r="E338" t="s">
        <v>14</v>
      </c>
      <c r="F338" t="s">
        <v>15</v>
      </c>
      <c r="G338">
        <v>841868.03287428699</v>
      </c>
      <c r="H338">
        <v>754620.83</v>
      </c>
      <c r="I338">
        <v>87247.202874287002</v>
      </c>
      <c r="J338">
        <v>0.115617273477975</v>
      </c>
      <c r="K338">
        <v>87247.202874287002</v>
      </c>
      <c r="L338">
        <v>0.115617273477975</v>
      </c>
    </row>
    <row r="339" spans="1:12" hidden="1" x14ac:dyDescent="0.35">
      <c r="A339" t="s">
        <v>17</v>
      </c>
      <c r="B339">
        <v>2021</v>
      </c>
      <c r="C339">
        <v>10</v>
      </c>
      <c r="D339" t="s">
        <v>13</v>
      </c>
      <c r="E339" t="s">
        <v>14</v>
      </c>
      <c r="F339" t="s">
        <v>15</v>
      </c>
      <c r="G339">
        <v>1251380.5800006599</v>
      </c>
      <c r="H339">
        <v>1039859.75</v>
      </c>
      <c r="I339">
        <v>211520.830000669</v>
      </c>
      <c r="J339">
        <v>0.203412844857846</v>
      </c>
      <c r="K339">
        <v>211520.830000669</v>
      </c>
      <c r="L339">
        <v>0.203412844857846</v>
      </c>
    </row>
    <row r="340" spans="1:12" hidden="1" x14ac:dyDescent="0.35">
      <c r="A340" t="s">
        <v>18</v>
      </c>
      <c r="B340">
        <v>2021</v>
      </c>
      <c r="C340">
        <v>10</v>
      </c>
      <c r="D340" t="s">
        <v>13</v>
      </c>
      <c r="E340" t="s">
        <v>14</v>
      </c>
      <c r="F340" t="s">
        <v>15</v>
      </c>
      <c r="G340">
        <v>409617.57426751498</v>
      </c>
      <c r="H340">
        <v>352474.34</v>
      </c>
      <c r="I340">
        <v>57143.2342675154</v>
      </c>
      <c r="J340">
        <v>0.162120267442774</v>
      </c>
      <c r="K340">
        <v>57143.2342675154</v>
      </c>
      <c r="L340">
        <v>0.162120267442774</v>
      </c>
    </row>
    <row r="341" spans="1:12" hidden="1" x14ac:dyDescent="0.35">
      <c r="A341" t="s">
        <v>19</v>
      </c>
      <c r="B341">
        <v>2021</v>
      </c>
      <c r="C341">
        <v>10</v>
      </c>
      <c r="D341" t="s">
        <v>13</v>
      </c>
      <c r="E341" t="s">
        <v>14</v>
      </c>
      <c r="F341" t="s">
        <v>15</v>
      </c>
      <c r="G341">
        <v>1951274.39900738</v>
      </c>
      <c r="H341">
        <v>1677803.56</v>
      </c>
      <c r="I341">
        <v>273470.83900738403</v>
      </c>
      <c r="J341">
        <v>0.16299335960843001</v>
      </c>
      <c r="K341">
        <v>273470.83900738403</v>
      </c>
      <c r="L341">
        <v>0.16299335960843001</v>
      </c>
    </row>
    <row r="342" spans="1:12" hidden="1" x14ac:dyDescent="0.35">
      <c r="A342" t="s">
        <v>12</v>
      </c>
      <c r="B342">
        <v>2022</v>
      </c>
      <c r="C342">
        <v>10</v>
      </c>
      <c r="D342" t="s">
        <v>13</v>
      </c>
      <c r="E342" t="s">
        <v>14</v>
      </c>
      <c r="F342" t="s">
        <v>15</v>
      </c>
      <c r="G342">
        <v>1399983.62062142</v>
      </c>
      <c r="H342">
        <v>1409120</v>
      </c>
      <c r="I342">
        <v>-9136.3793785709404</v>
      </c>
      <c r="J342">
        <v>-6.4837482816019502E-3</v>
      </c>
      <c r="K342">
        <v>9136.3793785709404</v>
      </c>
      <c r="L342">
        <v>6.4837482816019502E-3</v>
      </c>
    </row>
    <row r="343" spans="1:12" hidden="1" x14ac:dyDescent="0.35">
      <c r="A343" t="s">
        <v>16</v>
      </c>
      <c r="B343">
        <v>2022</v>
      </c>
      <c r="C343">
        <v>10</v>
      </c>
      <c r="D343" t="s">
        <v>13</v>
      </c>
      <c r="E343" t="s">
        <v>14</v>
      </c>
      <c r="F343" t="s">
        <v>15</v>
      </c>
      <c r="G343">
        <v>743590.25296876603</v>
      </c>
      <c r="H343">
        <v>787750</v>
      </c>
      <c r="I343">
        <v>-44159.747031233899</v>
      </c>
      <c r="J343">
        <v>-5.6058073032350303E-2</v>
      </c>
      <c r="K343">
        <v>44159.747031233899</v>
      </c>
      <c r="L343">
        <v>5.6058073032350303E-2</v>
      </c>
    </row>
    <row r="344" spans="1:12" hidden="1" x14ac:dyDescent="0.35">
      <c r="A344" t="s">
        <v>17</v>
      </c>
      <c r="B344">
        <v>2022</v>
      </c>
      <c r="C344">
        <v>10</v>
      </c>
      <c r="D344" t="s">
        <v>13</v>
      </c>
      <c r="E344" t="s">
        <v>14</v>
      </c>
      <c r="F344" t="s">
        <v>15</v>
      </c>
      <c r="G344">
        <v>939965.72104226099</v>
      </c>
      <c r="H344">
        <v>1097033</v>
      </c>
      <c r="I344">
        <v>-157067.27895773799</v>
      </c>
      <c r="J344">
        <v>-0.14317461640418999</v>
      </c>
      <c r="K344">
        <v>157067.27895773799</v>
      </c>
      <c r="L344">
        <v>0.14317461640418999</v>
      </c>
    </row>
    <row r="345" spans="1:12" hidden="1" x14ac:dyDescent="0.35">
      <c r="A345" t="s">
        <v>18</v>
      </c>
      <c r="B345">
        <v>2022</v>
      </c>
      <c r="C345">
        <v>10</v>
      </c>
      <c r="D345" t="s">
        <v>13</v>
      </c>
      <c r="E345" t="s">
        <v>14</v>
      </c>
      <c r="F345" t="s">
        <v>15</v>
      </c>
      <c r="G345">
        <v>330261.73821427103</v>
      </c>
      <c r="H345">
        <v>363164</v>
      </c>
      <c r="I345">
        <v>-32902.2617857285</v>
      </c>
      <c r="J345">
        <v>-9.0598907892105202E-2</v>
      </c>
      <c r="K345">
        <v>32902.2617857285</v>
      </c>
      <c r="L345">
        <v>9.0598907892105202E-2</v>
      </c>
    </row>
    <row r="346" spans="1:12" hidden="1" x14ac:dyDescent="0.35">
      <c r="A346" t="s">
        <v>19</v>
      </c>
      <c r="B346">
        <v>2022</v>
      </c>
      <c r="C346">
        <v>10</v>
      </c>
      <c r="D346" t="s">
        <v>13</v>
      </c>
      <c r="E346" t="s">
        <v>14</v>
      </c>
      <c r="F346" t="s">
        <v>15</v>
      </c>
      <c r="G346">
        <v>1694257.90548439</v>
      </c>
      <c r="H346">
        <v>1501498</v>
      </c>
      <c r="I346">
        <v>192759.90548439199</v>
      </c>
      <c r="J346">
        <v>0.128378396431025</v>
      </c>
      <c r="K346">
        <v>192759.90548439199</v>
      </c>
      <c r="L346">
        <v>0.128378396431025</v>
      </c>
    </row>
    <row r="347" spans="1:12" hidden="1" x14ac:dyDescent="0.35">
      <c r="A347" t="s">
        <v>12</v>
      </c>
      <c r="B347">
        <v>2023</v>
      </c>
      <c r="C347">
        <v>10</v>
      </c>
      <c r="D347" t="s">
        <v>13</v>
      </c>
      <c r="E347" t="s">
        <v>14</v>
      </c>
      <c r="F347" t="s">
        <v>15</v>
      </c>
      <c r="G347">
        <v>1399108.50816778</v>
      </c>
      <c r="H347">
        <v>1521000</v>
      </c>
      <c r="I347">
        <v>-121891.49183221599</v>
      </c>
      <c r="J347">
        <v>-8.0139047884428993E-2</v>
      </c>
      <c r="K347">
        <v>121891.49183221599</v>
      </c>
      <c r="L347">
        <v>8.0139047884428993E-2</v>
      </c>
    </row>
    <row r="348" spans="1:12" hidden="1" x14ac:dyDescent="0.35">
      <c r="A348" t="s">
        <v>16</v>
      </c>
      <c r="B348">
        <v>2023</v>
      </c>
      <c r="C348">
        <v>10</v>
      </c>
      <c r="D348" t="s">
        <v>13</v>
      </c>
      <c r="E348" t="s">
        <v>14</v>
      </c>
      <c r="F348" t="s">
        <v>15</v>
      </c>
      <c r="G348">
        <v>713804.08927211596</v>
      </c>
      <c r="H348">
        <v>929000</v>
      </c>
      <c r="I348">
        <v>-215195.91072788299</v>
      </c>
      <c r="J348">
        <v>-0.231642530385235</v>
      </c>
      <c r="K348">
        <v>215195.91072788299</v>
      </c>
      <c r="L348">
        <v>0.231642530385235</v>
      </c>
    </row>
    <row r="349" spans="1:12" hidden="1" x14ac:dyDescent="0.35">
      <c r="A349" t="s">
        <v>17</v>
      </c>
      <c r="B349">
        <v>2023</v>
      </c>
      <c r="C349">
        <v>10</v>
      </c>
      <c r="D349" t="s">
        <v>13</v>
      </c>
      <c r="E349" t="s">
        <v>14</v>
      </c>
      <c r="F349" t="s">
        <v>15</v>
      </c>
      <c r="G349">
        <v>932763.82150929898</v>
      </c>
      <c r="H349">
        <v>1353000</v>
      </c>
      <c r="I349">
        <v>-420236.17849070003</v>
      </c>
      <c r="J349">
        <v>-0.31059584515203298</v>
      </c>
      <c r="K349">
        <v>420236.17849070003</v>
      </c>
      <c r="L349">
        <v>0.31059584515203298</v>
      </c>
    </row>
    <row r="350" spans="1:12" hidden="1" x14ac:dyDescent="0.35">
      <c r="A350" t="s">
        <v>18</v>
      </c>
      <c r="B350">
        <v>2023</v>
      </c>
      <c r="C350">
        <v>10</v>
      </c>
      <c r="D350" t="s">
        <v>13</v>
      </c>
      <c r="E350" t="s">
        <v>14</v>
      </c>
      <c r="F350" t="s">
        <v>15</v>
      </c>
      <c r="G350">
        <v>322307.72544401098</v>
      </c>
      <c r="H350">
        <v>445000</v>
      </c>
      <c r="I350">
        <v>-122692.274555988</v>
      </c>
      <c r="J350">
        <v>-0.27571297653031102</v>
      </c>
      <c r="K350">
        <v>122692.274555988</v>
      </c>
      <c r="L350">
        <v>0.27571297653031102</v>
      </c>
    </row>
    <row r="351" spans="1:12" hidden="1" x14ac:dyDescent="0.35">
      <c r="A351" t="s">
        <v>19</v>
      </c>
      <c r="B351">
        <v>2023</v>
      </c>
      <c r="C351">
        <v>10</v>
      </c>
      <c r="D351" t="s">
        <v>13</v>
      </c>
      <c r="E351" t="s">
        <v>14</v>
      </c>
      <c r="F351" t="s">
        <v>15</v>
      </c>
      <c r="G351">
        <v>1352603.08593532</v>
      </c>
      <c r="H351">
        <v>1728000</v>
      </c>
      <c r="I351">
        <v>-375396.91406467598</v>
      </c>
      <c r="J351">
        <v>-0.217243584528169</v>
      </c>
      <c r="K351">
        <v>375396.91406467598</v>
      </c>
      <c r="L351">
        <v>0.217243584528169</v>
      </c>
    </row>
    <row r="352" spans="1:12" hidden="1" x14ac:dyDescent="0.35">
      <c r="A352" t="s">
        <v>12</v>
      </c>
      <c r="B352">
        <v>2017</v>
      </c>
      <c r="C352">
        <v>11</v>
      </c>
      <c r="D352" t="s">
        <v>13</v>
      </c>
      <c r="E352" t="s">
        <v>14</v>
      </c>
      <c r="F352" t="s">
        <v>15</v>
      </c>
      <c r="G352">
        <v>1006291.33267826</v>
      </c>
      <c r="H352">
        <v>1011269</v>
      </c>
      <c r="I352">
        <v>-4977.6673217376201</v>
      </c>
      <c r="J352">
        <v>-4.9221990605245701E-3</v>
      </c>
      <c r="K352">
        <v>4977.6673217376201</v>
      </c>
      <c r="L352">
        <v>4.9221990605245701E-3</v>
      </c>
    </row>
    <row r="353" spans="1:12" hidden="1" x14ac:dyDescent="0.35">
      <c r="A353" t="s">
        <v>16</v>
      </c>
      <c r="B353">
        <v>2017</v>
      </c>
      <c r="C353">
        <v>11</v>
      </c>
      <c r="D353" t="s">
        <v>13</v>
      </c>
      <c r="E353" t="s">
        <v>14</v>
      </c>
      <c r="F353" t="s">
        <v>15</v>
      </c>
      <c r="G353">
        <v>435959.81796016102</v>
      </c>
      <c r="H353">
        <v>410364</v>
      </c>
      <c r="I353">
        <v>25595.817960161599</v>
      </c>
      <c r="J353">
        <v>6.23734488409355E-2</v>
      </c>
      <c r="K353">
        <v>25595.817960161599</v>
      </c>
      <c r="L353">
        <v>6.23734488409355E-2</v>
      </c>
    </row>
    <row r="354" spans="1:12" hidden="1" x14ac:dyDescent="0.35">
      <c r="A354" t="s">
        <v>17</v>
      </c>
      <c r="B354">
        <v>2017</v>
      </c>
      <c r="C354">
        <v>11</v>
      </c>
      <c r="D354" t="s">
        <v>13</v>
      </c>
      <c r="E354" t="s">
        <v>14</v>
      </c>
      <c r="F354" t="s">
        <v>15</v>
      </c>
      <c r="G354">
        <v>628855.12028779997</v>
      </c>
      <c r="H354">
        <v>875484</v>
      </c>
      <c r="I354">
        <v>-246628.8797122</v>
      </c>
      <c r="J354">
        <v>-0.28170575328869502</v>
      </c>
      <c r="K354">
        <v>246628.8797122</v>
      </c>
      <c r="L354">
        <v>0.28170575328869502</v>
      </c>
    </row>
    <row r="355" spans="1:12" hidden="1" x14ac:dyDescent="0.35">
      <c r="A355" t="s">
        <v>18</v>
      </c>
      <c r="B355">
        <v>2017</v>
      </c>
      <c r="C355">
        <v>11</v>
      </c>
      <c r="D355" t="s">
        <v>13</v>
      </c>
      <c r="E355" t="s">
        <v>14</v>
      </c>
      <c r="F355" t="s">
        <v>15</v>
      </c>
      <c r="G355">
        <v>182835.573194347</v>
      </c>
      <c r="H355">
        <v>215491</v>
      </c>
      <c r="I355">
        <v>-32655.426805652602</v>
      </c>
      <c r="J355">
        <v>-0.15153963184380101</v>
      </c>
      <c r="K355">
        <v>32655.426805652602</v>
      </c>
      <c r="L355">
        <v>0.15153963184380101</v>
      </c>
    </row>
    <row r="356" spans="1:12" hidden="1" x14ac:dyDescent="0.35">
      <c r="A356" t="s">
        <v>19</v>
      </c>
      <c r="B356">
        <v>2017</v>
      </c>
      <c r="C356">
        <v>11</v>
      </c>
      <c r="D356" t="s">
        <v>13</v>
      </c>
      <c r="E356" t="s">
        <v>14</v>
      </c>
      <c r="F356" t="s">
        <v>15</v>
      </c>
      <c r="G356">
        <v>461102.05592030397</v>
      </c>
      <c r="H356">
        <v>1405223</v>
      </c>
      <c r="I356">
        <v>-944120.94407969504</v>
      </c>
      <c r="J356">
        <v>-0.67186556445467704</v>
      </c>
      <c r="K356">
        <v>944120.94407969504</v>
      </c>
      <c r="L356">
        <v>0.67186556445467704</v>
      </c>
    </row>
    <row r="357" spans="1:12" hidden="1" x14ac:dyDescent="0.35">
      <c r="A357" t="s">
        <v>12</v>
      </c>
      <c r="B357">
        <v>2018</v>
      </c>
      <c r="C357">
        <v>11</v>
      </c>
      <c r="D357" t="s">
        <v>13</v>
      </c>
      <c r="E357" t="s">
        <v>14</v>
      </c>
      <c r="F357" t="s">
        <v>15</v>
      </c>
      <c r="G357">
        <v>1051350.76637684</v>
      </c>
      <c r="H357">
        <v>1206587.27</v>
      </c>
      <c r="I357">
        <v>-155236.50362315099</v>
      </c>
      <c r="J357">
        <v>-0.12865750160214301</v>
      </c>
      <c r="K357">
        <v>155236.50362315099</v>
      </c>
      <c r="L357">
        <v>0.12865750160214301</v>
      </c>
    </row>
    <row r="358" spans="1:12" hidden="1" x14ac:dyDescent="0.35">
      <c r="A358" t="s">
        <v>16</v>
      </c>
      <c r="B358">
        <v>2018</v>
      </c>
      <c r="C358">
        <v>11</v>
      </c>
      <c r="D358" t="s">
        <v>13</v>
      </c>
      <c r="E358" t="s">
        <v>14</v>
      </c>
      <c r="F358" t="s">
        <v>15</v>
      </c>
      <c r="G358">
        <v>415597.22204128897</v>
      </c>
      <c r="H358">
        <v>485672.51</v>
      </c>
      <c r="I358">
        <v>-70075.287958710003</v>
      </c>
      <c r="J358">
        <v>-0.14428506146808601</v>
      </c>
      <c r="K358">
        <v>70075.287958710003</v>
      </c>
      <c r="L358">
        <v>0.14428506146808601</v>
      </c>
    </row>
    <row r="359" spans="1:12" hidden="1" x14ac:dyDescent="0.35">
      <c r="A359" t="s">
        <v>17</v>
      </c>
      <c r="B359">
        <v>2018</v>
      </c>
      <c r="C359">
        <v>11</v>
      </c>
      <c r="D359" t="s">
        <v>13</v>
      </c>
      <c r="E359" t="s">
        <v>14</v>
      </c>
      <c r="F359" t="s">
        <v>15</v>
      </c>
      <c r="G359">
        <v>971683.11025797098</v>
      </c>
      <c r="H359">
        <v>897574.18</v>
      </c>
      <c r="I359">
        <v>74108.930257971195</v>
      </c>
      <c r="J359">
        <v>8.2565800029999997E-2</v>
      </c>
      <c r="K359">
        <v>74108.930257971195</v>
      </c>
      <c r="L359">
        <v>8.2565800029999997E-2</v>
      </c>
    </row>
    <row r="360" spans="1:12" hidden="1" x14ac:dyDescent="0.35">
      <c r="A360" t="s">
        <v>18</v>
      </c>
      <c r="B360">
        <v>2018</v>
      </c>
      <c r="C360">
        <v>11</v>
      </c>
      <c r="D360" t="s">
        <v>13</v>
      </c>
      <c r="E360" t="s">
        <v>14</v>
      </c>
      <c r="F360" t="s">
        <v>15</v>
      </c>
      <c r="G360">
        <v>242108.673505121</v>
      </c>
      <c r="H360">
        <v>295463.11</v>
      </c>
      <c r="I360">
        <v>-53354.436494878297</v>
      </c>
      <c r="J360">
        <v>-0.18057901202921101</v>
      </c>
      <c r="K360">
        <v>53354.436494878297</v>
      </c>
      <c r="L360">
        <v>0.18057901202921101</v>
      </c>
    </row>
    <row r="361" spans="1:12" hidden="1" x14ac:dyDescent="0.35">
      <c r="A361" t="s">
        <v>19</v>
      </c>
      <c r="B361">
        <v>2018</v>
      </c>
      <c r="C361">
        <v>11</v>
      </c>
      <c r="D361" t="s">
        <v>13</v>
      </c>
      <c r="E361" t="s">
        <v>14</v>
      </c>
      <c r="F361" t="s">
        <v>15</v>
      </c>
      <c r="G361">
        <v>1535581.3844510899</v>
      </c>
      <c r="H361">
        <v>1500588.37</v>
      </c>
      <c r="I361">
        <v>34993.014451099298</v>
      </c>
      <c r="J361">
        <v>2.3319529293099401E-2</v>
      </c>
      <c r="K361">
        <v>34993.014451099298</v>
      </c>
      <c r="L361">
        <v>2.3319529293099401E-2</v>
      </c>
    </row>
    <row r="362" spans="1:12" hidden="1" x14ac:dyDescent="0.35">
      <c r="A362" t="s">
        <v>12</v>
      </c>
      <c r="B362">
        <v>2019</v>
      </c>
      <c r="C362">
        <v>11</v>
      </c>
      <c r="D362" t="s">
        <v>13</v>
      </c>
      <c r="E362" t="s">
        <v>14</v>
      </c>
      <c r="F362" t="s">
        <v>15</v>
      </c>
      <c r="G362">
        <v>1193269.0895517</v>
      </c>
      <c r="H362">
        <v>1155730.28</v>
      </c>
      <c r="I362">
        <v>37538.809551707898</v>
      </c>
      <c r="J362">
        <v>3.2480597074697998E-2</v>
      </c>
      <c r="K362">
        <v>37538.809551707898</v>
      </c>
      <c r="L362">
        <v>3.2480597074697998E-2</v>
      </c>
    </row>
    <row r="363" spans="1:12" hidden="1" x14ac:dyDescent="0.35">
      <c r="A363" t="s">
        <v>16</v>
      </c>
      <c r="B363">
        <v>2019</v>
      </c>
      <c r="C363">
        <v>11</v>
      </c>
      <c r="D363" t="s">
        <v>13</v>
      </c>
      <c r="E363" t="s">
        <v>14</v>
      </c>
      <c r="F363" t="s">
        <v>15</v>
      </c>
      <c r="G363">
        <v>450758.69017674302</v>
      </c>
      <c r="H363">
        <v>530704.97</v>
      </c>
      <c r="I363">
        <v>-79946.279823256002</v>
      </c>
      <c r="J363">
        <v>-0.15064166409305699</v>
      </c>
      <c r="K363">
        <v>79946.279823256002</v>
      </c>
      <c r="L363">
        <v>0.15064166409305699</v>
      </c>
    </row>
    <row r="364" spans="1:12" hidden="1" x14ac:dyDescent="0.35">
      <c r="A364" t="s">
        <v>17</v>
      </c>
      <c r="B364">
        <v>2019</v>
      </c>
      <c r="C364">
        <v>11</v>
      </c>
      <c r="D364" t="s">
        <v>13</v>
      </c>
      <c r="E364" t="s">
        <v>14</v>
      </c>
      <c r="F364" t="s">
        <v>15</v>
      </c>
      <c r="G364">
        <v>790305.81530130794</v>
      </c>
      <c r="H364">
        <v>807044.07</v>
      </c>
      <c r="I364">
        <v>-16738.2546986913</v>
      </c>
      <c r="J364">
        <v>-2.0740199105472999E-2</v>
      </c>
      <c r="K364">
        <v>16738.2546986913</v>
      </c>
      <c r="L364">
        <v>2.0740199105472999E-2</v>
      </c>
    </row>
    <row r="365" spans="1:12" hidden="1" x14ac:dyDescent="0.35">
      <c r="A365" t="s">
        <v>18</v>
      </c>
      <c r="B365">
        <v>2019</v>
      </c>
      <c r="C365">
        <v>11</v>
      </c>
      <c r="D365" t="s">
        <v>13</v>
      </c>
      <c r="E365" t="s">
        <v>14</v>
      </c>
      <c r="F365" t="s">
        <v>15</v>
      </c>
      <c r="G365">
        <v>274057.36097187101</v>
      </c>
      <c r="H365">
        <v>270168.31</v>
      </c>
      <c r="I365">
        <v>3889.0509718713001</v>
      </c>
      <c r="J365">
        <v>1.43949191223474E-2</v>
      </c>
      <c r="K365">
        <v>3889.0509718713001</v>
      </c>
      <c r="L365">
        <v>1.43949191223474E-2</v>
      </c>
    </row>
    <row r="366" spans="1:12" hidden="1" x14ac:dyDescent="0.35">
      <c r="A366" t="s">
        <v>19</v>
      </c>
      <c r="B366">
        <v>2019</v>
      </c>
      <c r="C366">
        <v>11</v>
      </c>
      <c r="D366" t="s">
        <v>13</v>
      </c>
      <c r="E366" t="s">
        <v>14</v>
      </c>
      <c r="F366" t="s">
        <v>15</v>
      </c>
      <c r="G366">
        <v>1391067.51625368</v>
      </c>
      <c r="H366">
        <v>1421288.11</v>
      </c>
      <c r="I366">
        <v>-30220.5937463142</v>
      </c>
      <c r="J366">
        <v>-2.1262820348447301E-2</v>
      </c>
      <c r="K366">
        <v>30220.5937463142</v>
      </c>
      <c r="L366">
        <v>2.1262820348447301E-2</v>
      </c>
    </row>
    <row r="367" spans="1:12" hidden="1" x14ac:dyDescent="0.35">
      <c r="A367" t="s">
        <v>12</v>
      </c>
      <c r="B367">
        <v>2020</v>
      </c>
      <c r="C367">
        <v>11</v>
      </c>
      <c r="D367" t="s">
        <v>13</v>
      </c>
      <c r="E367" t="s">
        <v>14</v>
      </c>
      <c r="F367" t="s">
        <v>15</v>
      </c>
      <c r="G367">
        <v>1314259.91120298</v>
      </c>
      <c r="H367">
        <v>1349723.01</v>
      </c>
      <c r="I367">
        <v>-35463.098797015598</v>
      </c>
      <c r="J367">
        <v>-2.6274352985221398E-2</v>
      </c>
      <c r="K367">
        <v>35463.098797015598</v>
      </c>
      <c r="L367">
        <v>2.6274352985221398E-2</v>
      </c>
    </row>
    <row r="368" spans="1:12" hidden="1" x14ac:dyDescent="0.35">
      <c r="A368" t="s">
        <v>16</v>
      </c>
      <c r="B368">
        <v>2020</v>
      </c>
      <c r="C368">
        <v>11</v>
      </c>
      <c r="D368" t="s">
        <v>13</v>
      </c>
      <c r="E368" t="s">
        <v>14</v>
      </c>
      <c r="F368" t="s">
        <v>15</v>
      </c>
      <c r="G368">
        <v>673992.34480939899</v>
      </c>
      <c r="H368">
        <v>761883.04</v>
      </c>
      <c r="I368">
        <v>-87890.695190600498</v>
      </c>
      <c r="J368">
        <v>-0.11535982634631201</v>
      </c>
      <c r="K368">
        <v>87890.695190600498</v>
      </c>
      <c r="L368">
        <v>0.11535982634631201</v>
      </c>
    </row>
    <row r="369" spans="1:12" hidden="1" x14ac:dyDescent="0.35">
      <c r="A369" t="s">
        <v>17</v>
      </c>
      <c r="B369">
        <v>2020</v>
      </c>
      <c r="C369">
        <v>11</v>
      </c>
      <c r="D369" t="s">
        <v>13</v>
      </c>
      <c r="E369" t="s">
        <v>14</v>
      </c>
      <c r="F369" t="s">
        <v>15</v>
      </c>
      <c r="G369">
        <v>1098469.0498265401</v>
      </c>
      <c r="H369">
        <v>1144854.92</v>
      </c>
      <c r="I369">
        <v>-46385.870173459101</v>
      </c>
      <c r="J369">
        <v>-4.0516810788094597E-2</v>
      </c>
      <c r="K369">
        <v>46385.870173459101</v>
      </c>
      <c r="L369">
        <v>4.0516810788094597E-2</v>
      </c>
    </row>
    <row r="370" spans="1:12" hidden="1" x14ac:dyDescent="0.35">
      <c r="A370" t="s">
        <v>18</v>
      </c>
      <c r="B370">
        <v>2020</v>
      </c>
      <c r="C370">
        <v>11</v>
      </c>
      <c r="D370" t="s">
        <v>13</v>
      </c>
      <c r="E370" t="s">
        <v>14</v>
      </c>
      <c r="F370" t="s">
        <v>15</v>
      </c>
      <c r="G370">
        <v>326565.14993957599</v>
      </c>
      <c r="H370">
        <v>377322.86</v>
      </c>
      <c r="I370">
        <v>-50757.710060423102</v>
      </c>
      <c r="J370">
        <v>-0.13452063323283101</v>
      </c>
      <c r="K370">
        <v>50757.710060423102</v>
      </c>
      <c r="L370">
        <v>0.13452063323283101</v>
      </c>
    </row>
    <row r="371" spans="1:12" hidden="1" x14ac:dyDescent="0.35">
      <c r="A371" t="s">
        <v>19</v>
      </c>
      <c r="B371">
        <v>2020</v>
      </c>
      <c r="C371">
        <v>11</v>
      </c>
      <c r="D371" t="s">
        <v>13</v>
      </c>
      <c r="E371" t="s">
        <v>14</v>
      </c>
      <c r="F371" t="s">
        <v>15</v>
      </c>
      <c r="G371">
        <v>1667289.35977714</v>
      </c>
      <c r="H371">
        <v>1797486.11</v>
      </c>
      <c r="I371">
        <v>-130196.750222858</v>
      </c>
      <c r="J371">
        <v>-7.2432687795767101E-2</v>
      </c>
      <c r="K371">
        <v>130196.750222858</v>
      </c>
      <c r="L371">
        <v>7.2432687795767101E-2</v>
      </c>
    </row>
    <row r="372" spans="1:12" hidden="1" x14ac:dyDescent="0.35">
      <c r="A372" t="s">
        <v>12</v>
      </c>
      <c r="B372">
        <v>2021</v>
      </c>
      <c r="C372">
        <v>11</v>
      </c>
      <c r="D372" t="s">
        <v>13</v>
      </c>
      <c r="E372" t="s">
        <v>14</v>
      </c>
      <c r="F372" t="s">
        <v>15</v>
      </c>
      <c r="G372">
        <v>1485344.08121801</v>
      </c>
      <c r="H372">
        <v>1382119.93</v>
      </c>
      <c r="I372">
        <v>103224.15121801299</v>
      </c>
      <c r="J372">
        <v>7.4685379305696895E-2</v>
      </c>
      <c r="K372">
        <v>103224.15121801299</v>
      </c>
      <c r="L372">
        <v>7.4685379305696895E-2</v>
      </c>
    </row>
    <row r="373" spans="1:12" hidden="1" x14ac:dyDescent="0.35">
      <c r="A373" t="s">
        <v>16</v>
      </c>
      <c r="B373">
        <v>2021</v>
      </c>
      <c r="C373">
        <v>11</v>
      </c>
      <c r="D373" t="s">
        <v>13</v>
      </c>
      <c r="E373" t="s">
        <v>14</v>
      </c>
      <c r="F373" t="s">
        <v>15</v>
      </c>
      <c r="G373">
        <v>880782.02659536304</v>
      </c>
      <c r="H373">
        <v>754620.83</v>
      </c>
      <c r="I373">
        <v>126161.196595363</v>
      </c>
      <c r="J373">
        <v>0.16718488488498701</v>
      </c>
      <c r="K373">
        <v>126161.196595363</v>
      </c>
      <c r="L373">
        <v>0.16718488488498701</v>
      </c>
    </row>
    <row r="374" spans="1:12" hidden="1" x14ac:dyDescent="0.35">
      <c r="A374" t="s">
        <v>17</v>
      </c>
      <c r="B374">
        <v>2021</v>
      </c>
      <c r="C374">
        <v>11</v>
      </c>
      <c r="D374" t="s">
        <v>13</v>
      </c>
      <c r="E374" t="s">
        <v>14</v>
      </c>
      <c r="F374" t="s">
        <v>15</v>
      </c>
      <c r="G374">
        <v>1335154.7773511701</v>
      </c>
      <c r="H374">
        <v>1039859.75</v>
      </c>
      <c r="I374">
        <v>295295.02735117101</v>
      </c>
      <c r="J374">
        <v>0.28397582207713201</v>
      </c>
      <c r="K374">
        <v>295295.02735117101</v>
      </c>
      <c r="L374">
        <v>0.28397582207713201</v>
      </c>
    </row>
    <row r="375" spans="1:12" hidden="1" x14ac:dyDescent="0.35">
      <c r="A375" t="s">
        <v>18</v>
      </c>
      <c r="B375">
        <v>2021</v>
      </c>
      <c r="C375">
        <v>11</v>
      </c>
      <c r="D375" t="s">
        <v>13</v>
      </c>
      <c r="E375" t="s">
        <v>14</v>
      </c>
      <c r="F375" t="s">
        <v>15</v>
      </c>
      <c r="G375">
        <v>434909.73857009498</v>
      </c>
      <c r="H375">
        <v>352474.34</v>
      </c>
      <c r="I375">
        <v>82435.3985700958</v>
      </c>
      <c r="J375">
        <v>0.23387631159220201</v>
      </c>
      <c r="K375">
        <v>82435.3985700958</v>
      </c>
      <c r="L375">
        <v>0.23387631159220201</v>
      </c>
    </row>
    <row r="376" spans="1:12" hidden="1" x14ac:dyDescent="0.35">
      <c r="A376" t="s">
        <v>19</v>
      </c>
      <c r="B376">
        <v>2021</v>
      </c>
      <c r="C376">
        <v>11</v>
      </c>
      <c r="D376" t="s">
        <v>13</v>
      </c>
      <c r="E376" t="s">
        <v>14</v>
      </c>
      <c r="F376" t="s">
        <v>15</v>
      </c>
      <c r="G376">
        <v>2057078.4356362901</v>
      </c>
      <c r="H376">
        <v>1677803.56</v>
      </c>
      <c r="I376">
        <v>379274.87563629099</v>
      </c>
      <c r="J376">
        <v>0.2260543991433</v>
      </c>
      <c r="K376">
        <v>379274.87563629099</v>
      </c>
      <c r="L376">
        <v>0.2260543991433</v>
      </c>
    </row>
    <row r="377" spans="1:12" hidden="1" x14ac:dyDescent="0.35">
      <c r="A377" t="s">
        <v>12</v>
      </c>
      <c r="B377">
        <v>2022</v>
      </c>
      <c r="C377">
        <v>11</v>
      </c>
      <c r="D377" t="s">
        <v>13</v>
      </c>
      <c r="E377" t="s">
        <v>14</v>
      </c>
      <c r="F377" t="s">
        <v>15</v>
      </c>
      <c r="G377">
        <v>1440204.36369552</v>
      </c>
      <c r="H377">
        <v>1409120</v>
      </c>
      <c r="I377">
        <v>31084.3636955199</v>
      </c>
      <c r="J377">
        <v>2.2059415589530999E-2</v>
      </c>
      <c r="K377">
        <v>31084.3636955199</v>
      </c>
      <c r="L377">
        <v>2.2059415589530999E-2</v>
      </c>
    </row>
    <row r="378" spans="1:12" hidden="1" x14ac:dyDescent="0.35">
      <c r="A378" t="s">
        <v>16</v>
      </c>
      <c r="B378">
        <v>2022</v>
      </c>
      <c r="C378">
        <v>11</v>
      </c>
      <c r="D378" t="s">
        <v>13</v>
      </c>
      <c r="E378" t="s">
        <v>14</v>
      </c>
      <c r="F378" t="s">
        <v>15</v>
      </c>
      <c r="G378">
        <v>740662.99720926594</v>
      </c>
      <c r="H378">
        <v>787750</v>
      </c>
      <c r="I378">
        <v>-47087.002790733997</v>
      </c>
      <c r="J378">
        <v>-5.9774043529970199E-2</v>
      </c>
      <c r="K378">
        <v>47087.002790733997</v>
      </c>
      <c r="L378">
        <v>5.9774043529970199E-2</v>
      </c>
    </row>
    <row r="379" spans="1:12" hidden="1" x14ac:dyDescent="0.35">
      <c r="A379" t="s">
        <v>17</v>
      </c>
      <c r="B379">
        <v>2022</v>
      </c>
      <c r="C379">
        <v>11</v>
      </c>
      <c r="D379" t="s">
        <v>13</v>
      </c>
      <c r="E379" t="s">
        <v>14</v>
      </c>
      <c r="F379" t="s">
        <v>15</v>
      </c>
      <c r="G379">
        <v>960454.70563561399</v>
      </c>
      <c r="H379">
        <v>1097033</v>
      </c>
      <c r="I379">
        <v>-136578.29436438499</v>
      </c>
      <c r="J379">
        <v>-0.12449789055059</v>
      </c>
      <c r="K379">
        <v>136578.29436438499</v>
      </c>
      <c r="L379">
        <v>0.12449789055059</v>
      </c>
    </row>
    <row r="380" spans="1:12" hidden="1" x14ac:dyDescent="0.35">
      <c r="A380" t="s">
        <v>18</v>
      </c>
      <c r="B380">
        <v>2022</v>
      </c>
      <c r="C380">
        <v>11</v>
      </c>
      <c r="D380" t="s">
        <v>13</v>
      </c>
      <c r="E380" t="s">
        <v>14</v>
      </c>
      <c r="F380" t="s">
        <v>15</v>
      </c>
      <c r="G380">
        <v>348522.94998031203</v>
      </c>
      <c r="H380">
        <v>363164</v>
      </c>
      <c r="I380">
        <v>-14641.0500196871</v>
      </c>
      <c r="J380">
        <v>-4.0315257073077398E-2</v>
      </c>
      <c r="K380">
        <v>14641.0500196871</v>
      </c>
      <c r="L380">
        <v>4.0315257073077398E-2</v>
      </c>
    </row>
    <row r="381" spans="1:12" hidden="1" x14ac:dyDescent="0.35">
      <c r="A381" t="s">
        <v>19</v>
      </c>
      <c r="B381">
        <v>2022</v>
      </c>
      <c r="C381">
        <v>11</v>
      </c>
      <c r="D381" t="s">
        <v>13</v>
      </c>
      <c r="E381" t="s">
        <v>14</v>
      </c>
      <c r="F381" t="s">
        <v>15</v>
      </c>
      <c r="G381">
        <v>1702346.3652850201</v>
      </c>
      <c r="H381">
        <v>1501498</v>
      </c>
      <c r="I381">
        <v>200848.36528502201</v>
      </c>
      <c r="J381">
        <v>0.13376532322055801</v>
      </c>
      <c r="K381">
        <v>200848.36528502201</v>
      </c>
      <c r="L381">
        <v>0.13376532322055801</v>
      </c>
    </row>
    <row r="382" spans="1:12" hidden="1" x14ac:dyDescent="0.35">
      <c r="A382" t="s">
        <v>12</v>
      </c>
      <c r="B382">
        <v>2023</v>
      </c>
      <c r="C382">
        <v>11</v>
      </c>
      <c r="D382" t="s">
        <v>13</v>
      </c>
      <c r="E382" t="s">
        <v>14</v>
      </c>
      <c r="F382" t="s">
        <v>15</v>
      </c>
      <c r="G382">
        <v>1380756.2621156401</v>
      </c>
      <c r="H382">
        <v>1521000</v>
      </c>
      <c r="I382">
        <v>-140243.73788435201</v>
      </c>
      <c r="J382">
        <v>-9.2204955873998795E-2</v>
      </c>
      <c r="K382">
        <v>140243.73788435201</v>
      </c>
      <c r="L382">
        <v>9.2204955873998795E-2</v>
      </c>
    </row>
    <row r="383" spans="1:12" hidden="1" x14ac:dyDescent="0.35">
      <c r="A383" t="s">
        <v>16</v>
      </c>
      <c r="B383">
        <v>2023</v>
      </c>
      <c r="C383">
        <v>11</v>
      </c>
      <c r="D383" t="s">
        <v>13</v>
      </c>
      <c r="E383" t="s">
        <v>14</v>
      </c>
      <c r="F383" t="s">
        <v>15</v>
      </c>
      <c r="G383">
        <v>697341.67119394406</v>
      </c>
      <c r="H383">
        <v>929000</v>
      </c>
      <c r="I383">
        <v>-231658.32880605501</v>
      </c>
      <c r="J383">
        <v>-0.24936310958671101</v>
      </c>
      <c r="K383">
        <v>231658.32880605501</v>
      </c>
      <c r="L383">
        <v>0.24936310958671101</v>
      </c>
    </row>
    <row r="384" spans="1:12" hidden="1" x14ac:dyDescent="0.35">
      <c r="A384" t="s">
        <v>17</v>
      </c>
      <c r="B384">
        <v>2023</v>
      </c>
      <c r="C384">
        <v>11</v>
      </c>
      <c r="D384" t="s">
        <v>13</v>
      </c>
      <c r="E384" t="s">
        <v>14</v>
      </c>
      <c r="F384" t="s">
        <v>15</v>
      </c>
      <c r="G384">
        <v>895629.14594790898</v>
      </c>
      <c r="H384">
        <v>1353000</v>
      </c>
      <c r="I384">
        <v>-457370.85405209003</v>
      </c>
      <c r="J384">
        <v>-0.33804202073325201</v>
      </c>
      <c r="K384">
        <v>457370.85405209003</v>
      </c>
      <c r="L384">
        <v>0.33804202073325201</v>
      </c>
    </row>
    <row r="385" spans="1:12" hidden="1" x14ac:dyDescent="0.35">
      <c r="A385" t="s">
        <v>18</v>
      </c>
      <c r="B385">
        <v>2023</v>
      </c>
      <c r="C385">
        <v>11</v>
      </c>
      <c r="D385" t="s">
        <v>13</v>
      </c>
      <c r="E385" t="s">
        <v>14</v>
      </c>
      <c r="F385" t="s">
        <v>15</v>
      </c>
      <c r="G385">
        <v>315931.41217941302</v>
      </c>
      <c r="H385">
        <v>445000</v>
      </c>
      <c r="I385">
        <v>-129068.58782058601</v>
      </c>
      <c r="J385">
        <v>-0.290041770383339</v>
      </c>
      <c r="K385">
        <v>129068.58782058601</v>
      </c>
      <c r="L385">
        <v>0.290041770383339</v>
      </c>
    </row>
    <row r="386" spans="1:12" hidden="1" x14ac:dyDescent="0.35">
      <c r="A386" t="s">
        <v>19</v>
      </c>
      <c r="B386">
        <v>2023</v>
      </c>
      <c r="C386">
        <v>11</v>
      </c>
      <c r="D386" t="s">
        <v>13</v>
      </c>
      <c r="E386" t="s">
        <v>14</v>
      </c>
      <c r="F386" t="s">
        <v>15</v>
      </c>
      <c r="G386">
        <v>1308349.1460617899</v>
      </c>
      <c r="H386">
        <v>1728000</v>
      </c>
      <c r="I386">
        <v>-419650.85393820098</v>
      </c>
      <c r="J386">
        <v>-0.24285350343645801</v>
      </c>
      <c r="K386">
        <v>419650.85393820098</v>
      </c>
      <c r="L386">
        <v>0.24285350343645801</v>
      </c>
    </row>
    <row r="387" spans="1:12" hidden="1" x14ac:dyDescent="0.35">
      <c r="A387" t="s">
        <v>12</v>
      </c>
      <c r="B387">
        <v>2017</v>
      </c>
      <c r="C387">
        <v>12</v>
      </c>
      <c r="D387" t="s">
        <v>13</v>
      </c>
      <c r="E387" t="s">
        <v>14</v>
      </c>
      <c r="F387" t="s">
        <v>15</v>
      </c>
      <c r="G387">
        <v>1034680.69067536</v>
      </c>
      <c r="H387">
        <v>1011269</v>
      </c>
      <c r="I387">
        <v>23411.6906753605</v>
      </c>
      <c r="J387">
        <v>2.3150804262130498E-2</v>
      </c>
      <c r="K387">
        <v>23411.6906753605</v>
      </c>
      <c r="L387">
        <v>2.3150804262130498E-2</v>
      </c>
    </row>
    <row r="388" spans="1:12" hidden="1" x14ac:dyDescent="0.35">
      <c r="A388" t="s">
        <v>16</v>
      </c>
      <c r="B388">
        <v>2017</v>
      </c>
      <c r="C388">
        <v>12</v>
      </c>
      <c r="D388" t="s">
        <v>13</v>
      </c>
      <c r="E388" t="s">
        <v>14</v>
      </c>
      <c r="F388" t="s">
        <v>15</v>
      </c>
      <c r="G388">
        <v>416042.49990482</v>
      </c>
      <c r="H388">
        <v>410364</v>
      </c>
      <c r="I388">
        <v>5678.4999048199898</v>
      </c>
      <c r="J388">
        <v>1.38377145773508E-2</v>
      </c>
      <c r="K388">
        <v>5678.4999048199898</v>
      </c>
      <c r="L388">
        <v>1.38377145773508E-2</v>
      </c>
    </row>
    <row r="389" spans="1:12" hidden="1" x14ac:dyDescent="0.35">
      <c r="A389" t="s">
        <v>17</v>
      </c>
      <c r="B389">
        <v>2017</v>
      </c>
      <c r="C389">
        <v>12</v>
      </c>
      <c r="D389" t="s">
        <v>13</v>
      </c>
      <c r="E389" t="s">
        <v>14</v>
      </c>
      <c r="F389" t="s">
        <v>15</v>
      </c>
      <c r="G389">
        <v>674055.20454578602</v>
      </c>
      <c r="H389">
        <v>875484</v>
      </c>
      <c r="I389">
        <v>-201428.79545421299</v>
      </c>
      <c r="J389">
        <v>-0.230077072172893</v>
      </c>
      <c r="K389">
        <v>201428.79545421299</v>
      </c>
      <c r="L389">
        <v>0.230077072172893</v>
      </c>
    </row>
    <row r="390" spans="1:12" hidden="1" x14ac:dyDescent="0.35">
      <c r="A390" t="s">
        <v>18</v>
      </c>
      <c r="B390">
        <v>2017</v>
      </c>
      <c r="C390">
        <v>12</v>
      </c>
      <c r="D390" t="s">
        <v>13</v>
      </c>
      <c r="E390" t="s">
        <v>14</v>
      </c>
      <c r="F390" t="s">
        <v>15</v>
      </c>
      <c r="G390">
        <v>196252.181388039</v>
      </c>
      <c r="H390">
        <v>215491</v>
      </c>
      <c r="I390">
        <v>-19238.818611960502</v>
      </c>
      <c r="J390">
        <v>-8.9278988969193895E-2</v>
      </c>
      <c r="K390">
        <v>19238.818611960502</v>
      </c>
      <c r="L390">
        <v>8.9278988969193895E-2</v>
      </c>
    </row>
    <row r="391" spans="1:12" hidden="1" x14ac:dyDescent="0.35">
      <c r="A391" t="s">
        <v>19</v>
      </c>
      <c r="B391">
        <v>2017</v>
      </c>
      <c r="C391">
        <v>12</v>
      </c>
      <c r="D391" t="s">
        <v>13</v>
      </c>
      <c r="E391" t="s">
        <v>14</v>
      </c>
      <c r="F391" t="s">
        <v>15</v>
      </c>
      <c r="G391">
        <v>556023.26900820096</v>
      </c>
      <c r="H391">
        <v>1405223</v>
      </c>
      <c r="I391">
        <v>-849199.73099179799</v>
      </c>
      <c r="J391">
        <v>-0.60431670346400401</v>
      </c>
      <c r="K391">
        <v>849199.73099179799</v>
      </c>
      <c r="L391">
        <v>0.60431670346400401</v>
      </c>
    </row>
    <row r="392" spans="1:12" hidden="1" x14ac:dyDescent="0.35">
      <c r="A392" t="s">
        <v>12</v>
      </c>
      <c r="B392">
        <v>2018</v>
      </c>
      <c r="C392">
        <v>12</v>
      </c>
      <c r="D392" t="s">
        <v>13</v>
      </c>
      <c r="E392" t="s">
        <v>14</v>
      </c>
      <c r="F392" t="s">
        <v>15</v>
      </c>
      <c r="G392">
        <v>1013835.78376248</v>
      </c>
      <c r="H392">
        <v>1206587.27</v>
      </c>
      <c r="I392">
        <v>-192751.486237515</v>
      </c>
      <c r="J392">
        <v>-0.159749311989272</v>
      </c>
      <c r="K392">
        <v>192751.486237515</v>
      </c>
      <c r="L392">
        <v>0.159749311989272</v>
      </c>
    </row>
    <row r="393" spans="1:12" hidden="1" x14ac:dyDescent="0.35">
      <c r="A393" t="s">
        <v>16</v>
      </c>
      <c r="B393">
        <v>2018</v>
      </c>
      <c r="C393">
        <v>12</v>
      </c>
      <c r="D393" t="s">
        <v>13</v>
      </c>
      <c r="E393" t="s">
        <v>14</v>
      </c>
      <c r="F393" t="s">
        <v>15</v>
      </c>
      <c r="G393">
        <v>430062.58451982198</v>
      </c>
      <c r="H393">
        <v>485672.51</v>
      </c>
      <c r="I393">
        <v>-55609.925480177102</v>
      </c>
      <c r="J393">
        <v>-0.114500871132642</v>
      </c>
      <c r="K393">
        <v>55609.925480177102</v>
      </c>
      <c r="L393">
        <v>0.114500871132642</v>
      </c>
    </row>
    <row r="394" spans="1:12" hidden="1" x14ac:dyDescent="0.35">
      <c r="A394" t="s">
        <v>17</v>
      </c>
      <c r="B394">
        <v>2018</v>
      </c>
      <c r="C394">
        <v>12</v>
      </c>
      <c r="D394" t="s">
        <v>13</v>
      </c>
      <c r="E394" t="s">
        <v>14</v>
      </c>
      <c r="F394" t="s">
        <v>15</v>
      </c>
      <c r="G394">
        <v>895129.46676049405</v>
      </c>
      <c r="H394">
        <v>897574.18</v>
      </c>
      <c r="I394">
        <v>-2444.7132395051799</v>
      </c>
      <c r="J394">
        <v>-2.7236893551296098E-3</v>
      </c>
      <c r="K394">
        <v>2444.7132395051799</v>
      </c>
      <c r="L394">
        <v>2.7236893551296098E-3</v>
      </c>
    </row>
    <row r="395" spans="1:12" hidden="1" x14ac:dyDescent="0.35">
      <c r="A395" t="s">
        <v>18</v>
      </c>
      <c r="B395">
        <v>2018</v>
      </c>
      <c r="C395">
        <v>12</v>
      </c>
      <c r="D395" t="s">
        <v>13</v>
      </c>
      <c r="E395" t="s">
        <v>14</v>
      </c>
      <c r="F395" t="s">
        <v>15</v>
      </c>
      <c r="G395">
        <v>220769.50575339701</v>
      </c>
      <c r="H395">
        <v>295463.11</v>
      </c>
      <c r="I395">
        <v>-74693.604246602394</v>
      </c>
      <c r="J395">
        <v>-0.25280179392480601</v>
      </c>
      <c r="K395">
        <v>74693.604246602394</v>
      </c>
      <c r="L395">
        <v>0.25280179392480601</v>
      </c>
    </row>
    <row r="396" spans="1:12" hidden="1" x14ac:dyDescent="0.35">
      <c r="A396" t="s">
        <v>19</v>
      </c>
      <c r="B396">
        <v>2018</v>
      </c>
      <c r="C396">
        <v>12</v>
      </c>
      <c r="D396" t="s">
        <v>13</v>
      </c>
      <c r="E396" t="s">
        <v>14</v>
      </c>
      <c r="F396" t="s">
        <v>15</v>
      </c>
      <c r="G396">
        <v>1429093.3705779</v>
      </c>
      <c r="H396">
        <v>1500588.37</v>
      </c>
      <c r="I396">
        <v>-71494.999422097506</v>
      </c>
      <c r="J396">
        <v>-4.7644644495077298E-2</v>
      </c>
      <c r="K396">
        <v>71494.999422097506</v>
      </c>
      <c r="L396">
        <v>4.7644644495077298E-2</v>
      </c>
    </row>
    <row r="397" spans="1:12" hidden="1" x14ac:dyDescent="0.35">
      <c r="A397" t="s">
        <v>12</v>
      </c>
      <c r="B397">
        <v>2019</v>
      </c>
      <c r="C397">
        <v>12</v>
      </c>
      <c r="D397" t="s">
        <v>13</v>
      </c>
      <c r="E397" t="s">
        <v>14</v>
      </c>
      <c r="F397" t="s">
        <v>15</v>
      </c>
      <c r="G397">
        <v>1191527.50665729</v>
      </c>
      <c r="H397">
        <v>1155730.28</v>
      </c>
      <c r="I397">
        <v>35797.226657298103</v>
      </c>
      <c r="J397">
        <v>3.09736858822269E-2</v>
      </c>
      <c r="K397">
        <v>35797.226657298103</v>
      </c>
      <c r="L397">
        <v>3.09736858822269E-2</v>
      </c>
    </row>
    <row r="398" spans="1:12" hidden="1" x14ac:dyDescent="0.35">
      <c r="A398" t="s">
        <v>16</v>
      </c>
      <c r="B398">
        <v>2019</v>
      </c>
      <c r="C398">
        <v>12</v>
      </c>
      <c r="D398" t="s">
        <v>13</v>
      </c>
      <c r="E398" t="s">
        <v>14</v>
      </c>
      <c r="F398" t="s">
        <v>15</v>
      </c>
      <c r="G398">
        <v>448358.78769759502</v>
      </c>
      <c r="H398">
        <v>530704.97</v>
      </c>
      <c r="I398">
        <v>-82346.182302404603</v>
      </c>
      <c r="J398">
        <v>-0.155163766984139</v>
      </c>
      <c r="K398">
        <v>82346.182302404603</v>
      </c>
      <c r="L398">
        <v>0.155163766984139</v>
      </c>
    </row>
    <row r="399" spans="1:12" hidden="1" x14ac:dyDescent="0.35">
      <c r="A399" t="s">
        <v>17</v>
      </c>
      <c r="B399">
        <v>2019</v>
      </c>
      <c r="C399">
        <v>12</v>
      </c>
      <c r="D399" t="s">
        <v>13</v>
      </c>
      <c r="E399" t="s">
        <v>14</v>
      </c>
      <c r="F399" t="s">
        <v>15</v>
      </c>
      <c r="G399">
        <v>789836.16952084599</v>
      </c>
      <c r="H399">
        <v>807044.07</v>
      </c>
      <c r="I399">
        <v>-17207.900479153101</v>
      </c>
      <c r="J399">
        <v>-2.1322132357844002E-2</v>
      </c>
      <c r="K399">
        <v>17207.900479153101</v>
      </c>
      <c r="L399">
        <v>2.1322132357844002E-2</v>
      </c>
    </row>
    <row r="400" spans="1:12" hidden="1" x14ac:dyDescent="0.35">
      <c r="A400" t="s">
        <v>18</v>
      </c>
      <c r="B400">
        <v>2019</v>
      </c>
      <c r="C400">
        <v>12</v>
      </c>
      <c r="D400" t="s">
        <v>13</v>
      </c>
      <c r="E400" t="s">
        <v>14</v>
      </c>
      <c r="F400" t="s">
        <v>15</v>
      </c>
      <c r="G400">
        <v>273280.41190346202</v>
      </c>
      <c r="H400">
        <v>270168.31</v>
      </c>
      <c r="I400">
        <v>3112.1019034628898</v>
      </c>
      <c r="J400">
        <v>1.15191226663959E-2</v>
      </c>
      <c r="K400">
        <v>3112.1019034628898</v>
      </c>
      <c r="L400">
        <v>1.15191226663959E-2</v>
      </c>
    </row>
    <row r="401" spans="1:12" hidden="1" x14ac:dyDescent="0.35">
      <c r="A401" t="s">
        <v>19</v>
      </c>
      <c r="B401">
        <v>2019</v>
      </c>
      <c r="C401">
        <v>12</v>
      </c>
      <c r="D401" t="s">
        <v>13</v>
      </c>
      <c r="E401" t="s">
        <v>14</v>
      </c>
      <c r="F401" t="s">
        <v>15</v>
      </c>
      <c r="G401">
        <v>1389981.87937065</v>
      </c>
      <c r="H401">
        <v>1421288.11</v>
      </c>
      <c r="I401">
        <v>-31306.230629340898</v>
      </c>
      <c r="J401">
        <v>-2.2026660470227201E-2</v>
      </c>
      <c r="K401">
        <v>31306.230629340898</v>
      </c>
      <c r="L401">
        <v>2.2026660470227201E-2</v>
      </c>
    </row>
    <row r="402" spans="1:12" hidden="1" x14ac:dyDescent="0.35">
      <c r="A402" t="s">
        <v>12</v>
      </c>
      <c r="B402">
        <v>2020</v>
      </c>
      <c r="C402">
        <v>12</v>
      </c>
      <c r="D402" t="s">
        <v>13</v>
      </c>
      <c r="E402" t="s">
        <v>14</v>
      </c>
      <c r="F402" t="s">
        <v>15</v>
      </c>
      <c r="G402">
        <v>1292418.8171389</v>
      </c>
      <c r="H402">
        <v>1349723.01</v>
      </c>
      <c r="I402">
        <v>-57304.192861097101</v>
      </c>
      <c r="J402">
        <v>-4.2456261348835601E-2</v>
      </c>
      <c r="K402">
        <v>57304.192861097101</v>
      </c>
      <c r="L402">
        <v>4.2456261348835601E-2</v>
      </c>
    </row>
    <row r="403" spans="1:12" hidden="1" x14ac:dyDescent="0.35">
      <c r="A403" t="s">
        <v>16</v>
      </c>
      <c r="B403">
        <v>2020</v>
      </c>
      <c r="C403">
        <v>12</v>
      </c>
      <c r="D403" t="s">
        <v>13</v>
      </c>
      <c r="E403" t="s">
        <v>14</v>
      </c>
      <c r="F403" t="s">
        <v>15</v>
      </c>
      <c r="G403">
        <v>647164.55257986195</v>
      </c>
      <c r="H403">
        <v>761883.04</v>
      </c>
      <c r="I403">
        <v>-114718.487420137</v>
      </c>
      <c r="J403">
        <v>-0.15057230755541801</v>
      </c>
      <c r="K403">
        <v>114718.487420137</v>
      </c>
      <c r="L403">
        <v>0.15057230755541801</v>
      </c>
    </row>
    <row r="404" spans="1:12" hidden="1" x14ac:dyDescent="0.35">
      <c r="A404" t="s">
        <v>17</v>
      </c>
      <c r="B404">
        <v>2020</v>
      </c>
      <c r="C404">
        <v>12</v>
      </c>
      <c r="D404" t="s">
        <v>13</v>
      </c>
      <c r="E404" t="s">
        <v>14</v>
      </c>
      <c r="F404" t="s">
        <v>15</v>
      </c>
      <c r="G404">
        <v>1119430.5328200799</v>
      </c>
      <c r="H404">
        <v>1144854.92</v>
      </c>
      <c r="I404">
        <v>-25424.387179918798</v>
      </c>
      <c r="J404">
        <v>-2.2207518818121299E-2</v>
      </c>
      <c r="K404">
        <v>25424.387179918798</v>
      </c>
      <c r="L404">
        <v>2.2207518818121299E-2</v>
      </c>
    </row>
    <row r="405" spans="1:12" hidden="1" x14ac:dyDescent="0.35">
      <c r="A405" t="s">
        <v>18</v>
      </c>
      <c r="B405">
        <v>2020</v>
      </c>
      <c r="C405">
        <v>12</v>
      </c>
      <c r="D405" t="s">
        <v>13</v>
      </c>
      <c r="E405" t="s">
        <v>14</v>
      </c>
      <c r="F405" t="s">
        <v>15</v>
      </c>
      <c r="G405">
        <v>324890.76424146199</v>
      </c>
      <c r="H405">
        <v>377322.86</v>
      </c>
      <c r="I405">
        <v>-52432.095758536998</v>
      </c>
      <c r="J405">
        <v>-0.13895817432990101</v>
      </c>
      <c r="K405">
        <v>52432.095758536998</v>
      </c>
      <c r="L405">
        <v>0.13895817432990101</v>
      </c>
    </row>
    <row r="406" spans="1:12" hidden="1" x14ac:dyDescent="0.35">
      <c r="A406" t="s">
        <v>19</v>
      </c>
      <c r="B406">
        <v>2020</v>
      </c>
      <c r="C406">
        <v>12</v>
      </c>
      <c r="D406" t="s">
        <v>13</v>
      </c>
      <c r="E406" t="s">
        <v>14</v>
      </c>
      <c r="F406" t="s">
        <v>15</v>
      </c>
      <c r="G406">
        <v>1711026.1939387401</v>
      </c>
      <c r="H406">
        <v>1797486.11</v>
      </c>
      <c r="I406">
        <v>-86459.916061253694</v>
      </c>
      <c r="J406">
        <v>-4.8100464076049898E-2</v>
      </c>
      <c r="K406">
        <v>86459.916061253694</v>
      </c>
      <c r="L406">
        <v>4.8100464076049898E-2</v>
      </c>
    </row>
    <row r="407" spans="1:12" hidden="1" x14ac:dyDescent="0.35">
      <c r="A407" t="s">
        <v>12</v>
      </c>
      <c r="B407">
        <v>2021</v>
      </c>
      <c r="C407">
        <v>12</v>
      </c>
      <c r="D407" t="s">
        <v>13</v>
      </c>
      <c r="E407" t="s">
        <v>14</v>
      </c>
      <c r="F407" t="s">
        <v>15</v>
      </c>
      <c r="G407">
        <v>1444159.3709525899</v>
      </c>
      <c r="H407">
        <v>1382119.93</v>
      </c>
      <c r="I407">
        <v>62039.440952597601</v>
      </c>
      <c r="J407">
        <v>4.4887161820029303E-2</v>
      </c>
      <c r="K407">
        <v>62039.440952597601</v>
      </c>
      <c r="L407">
        <v>4.4887161820029303E-2</v>
      </c>
    </row>
    <row r="408" spans="1:12" hidden="1" x14ac:dyDescent="0.35">
      <c r="A408" t="s">
        <v>16</v>
      </c>
      <c r="B408">
        <v>2021</v>
      </c>
      <c r="C408">
        <v>12</v>
      </c>
      <c r="D408" t="s">
        <v>13</v>
      </c>
      <c r="E408" t="s">
        <v>14</v>
      </c>
      <c r="F408" t="s">
        <v>15</v>
      </c>
      <c r="G408">
        <v>867593.13609680498</v>
      </c>
      <c r="H408">
        <v>754620.83</v>
      </c>
      <c r="I408">
        <v>112972.306096805</v>
      </c>
      <c r="J408">
        <v>0.149707378335693</v>
      </c>
      <c r="K408">
        <v>112972.306096805</v>
      </c>
      <c r="L408">
        <v>0.149707378335693</v>
      </c>
    </row>
    <row r="409" spans="1:12" hidden="1" x14ac:dyDescent="0.35">
      <c r="A409" t="s">
        <v>17</v>
      </c>
      <c r="B409">
        <v>2021</v>
      </c>
      <c r="C409">
        <v>12</v>
      </c>
      <c r="D409" t="s">
        <v>13</v>
      </c>
      <c r="E409" t="s">
        <v>14</v>
      </c>
      <c r="F409" t="s">
        <v>15</v>
      </c>
      <c r="G409">
        <v>1300077.0470809999</v>
      </c>
      <c r="H409">
        <v>1039859.75</v>
      </c>
      <c r="I409">
        <v>260217.29708100401</v>
      </c>
      <c r="J409">
        <v>0.25024268617090301</v>
      </c>
      <c r="K409">
        <v>260217.29708100401</v>
      </c>
      <c r="L409">
        <v>0.25024268617090301</v>
      </c>
    </row>
    <row r="410" spans="1:12" hidden="1" x14ac:dyDescent="0.35">
      <c r="A410" t="s">
        <v>18</v>
      </c>
      <c r="B410">
        <v>2021</v>
      </c>
      <c r="C410">
        <v>12</v>
      </c>
      <c r="D410" t="s">
        <v>13</v>
      </c>
      <c r="E410" t="s">
        <v>14</v>
      </c>
      <c r="F410" t="s">
        <v>15</v>
      </c>
      <c r="G410">
        <v>419029.15749033098</v>
      </c>
      <c r="H410">
        <v>352474.34</v>
      </c>
      <c r="I410">
        <v>66554.817490331407</v>
      </c>
      <c r="J410">
        <v>0.18882173803157201</v>
      </c>
      <c r="K410">
        <v>66554.817490331407</v>
      </c>
      <c r="L410">
        <v>0.18882173803157201</v>
      </c>
    </row>
    <row r="411" spans="1:12" hidden="1" x14ac:dyDescent="0.35">
      <c r="A411" t="s">
        <v>19</v>
      </c>
      <c r="B411">
        <v>2021</v>
      </c>
      <c r="C411">
        <v>12</v>
      </c>
      <c r="D411" t="s">
        <v>13</v>
      </c>
      <c r="E411" t="s">
        <v>14</v>
      </c>
      <c r="F411" t="s">
        <v>15</v>
      </c>
      <c r="G411">
        <v>2030969.25763981</v>
      </c>
      <c r="H411">
        <v>1677803.56</v>
      </c>
      <c r="I411">
        <v>353165.69763981499</v>
      </c>
      <c r="J411">
        <v>0.210492876555712</v>
      </c>
      <c r="K411">
        <v>353165.69763981499</v>
      </c>
      <c r="L411">
        <v>0.210492876555712</v>
      </c>
    </row>
    <row r="412" spans="1:12" hidden="1" x14ac:dyDescent="0.35">
      <c r="A412" t="s">
        <v>12</v>
      </c>
      <c r="B412">
        <v>2022</v>
      </c>
      <c r="C412">
        <v>12</v>
      </c>
      <c r="D412" t="s">
        <v>13</v>
      </c>
      <c r="E412" t="s">
        <v>14</v>
      </c>
      <c r="F412" t="s">
        <v>15</v>
      </c>
      <c r="G412">
        <v>1436054.11564224</v>
      </c>
      <c r="H412">
        <v>1409120</v>
      </c>
      <c r="I412">
        <v>26934.115642246499</v>
      </c>
      <c r="J412">
        <v>1.9114139067110299E-2</v>
      </c>
      <c r="K412">
        <v>26934.115642246499</v>
      </c>
      <c r="L412">
        <v>1.9114139067110299E-2</v>
      </c>
    </row>
    <row r="413" spans="1:12" hidden="1" x14ac:dyDescent="0.35">
      <c r="A413" t="s">
        <v>16</v>
      </c>
      <c r="B413">
        <v>2022</v>
      </c>
      <c r="C413">
        <v>12</v>
      </c>
      <c r="D413" t="s">
        <v>13</v>
      </c>
      <c r="E413" t="s">
        <v>14</v>
      </c>
      <c r="F413" t="s">
        <v>15</v>
      </c>
      <c r="G413">
        <v>768236.88552704803</v>
      </c>
      <c r="H413">
        <v>787750</v>
      </c>
      <c r="I413">
        <v>-19513.114472951602</v>
      </c>
      <c r="J413">
        <v>-2.4770694348399298E-2</v>
      </c>
      <c r="K413">
        <v>19513.114472951602</v>
      </c>
      <c r="L413">
        <v>2.4770694348399298E-2</v>
      </c>
    </row>
    <row r="414" spans="1:12" hidden="1" x14ac:dyDescent="0.35">
      <c r="A414" t="s">
        <v>17</v>
      </c>
      <c r="B414">
        <v>2022</v>
      </c>
      <c r="C414">
        <v>12</v>
      </c>
      <c r="D414" t="s">
        <v>13</v>
      </c>
      <c r="E414" t="s">
        <v>14</v>
      </c>
      <c r="F414" t="s">
        <v>15</v>
      </c>
      <c r="G414">
        <v>976330.62935623399</v>
      </c>
      <c r="H414">
        <v>1097033</v>
      </c>
      <c r="I414">
        <v>-120702.370643765</v>
      </c>
      <c r="J414">
        <v>-0.110026198522529</v>
      </c>
      <c r="K414">
        <v>120702.370643765</v>
      </c>
      <c r="L414">
        <v>0.110026198522529</v>
      </c>
    </row>
    <row r="415" spans="1:12" hidden="1" x14ac:dyDescent="0.35">
      <c r="A415" t="s">
        <v>18</v>
      </c>
      <c r="B415">
        <v>2022</v>
      </c>
      <c r="C415">
        <v>12</v>
      </c>
      <c r="D415" t="s">
        <v>13</v>
      </c>
      <c r="E415" t="s">
        <v>14</v>
      </c>
      <c r="F415" t="s">
        <v>15</v>
      </c>
      <c r="G415">
        <v>349886.21469722298</v>
      </c>
      <c r="H415">
        <v>363164</v>
      </c>
      <c r="I415">
        <v>-13277.7853027769</v>
      </c>
      <c r="J415">
        <v>-3.65614028449322E-2</v>
      </c>
      <c r="K415">
        <v>13277.7853027769</v>
      </c>
      <c r="L415">
        <v>3.65614028449322E-2</v>
      </c>
    </row>
    <row r="416" spans="1:12" hidden="1" x14ac:dyDescent="0.35">
      <c r="A416" t="s">
        <v>19</v>
      </c>
      <c r="B416">
        <v>2022</v>
      </c>
      <c r="C416">
        <v>12</v>
      </c>
      <c r="D416" t="s">
        <v>13</v>
      </c>
      <c r="E416" t="s">
        <v>14</v>
      </c>
      <c r="F416" t="s">
        <v>15</v>
      </c>
      <c r="G416">
        <v>1712866.78740734</v>
      </c>
      <c r="H416">
        <v>1501498</v>
      </c>
      <c r="I416">
        <v>211368.787407347</v>
      </c>
      <c r="J416">
        <v>0.140771940693459</v>
      </c>
      <c r="K416">
        <v>211368.787407347</v>
      </c>
      <c r="L416">
        <v>0.140771940693459</v>
      </c>
    </row>
    <row r="417" spans="1:12" hidden="1" x14ac:dyDescent="0.35">
      <c r="A417" t="s">
        <v>12</v>
      </c>
      <c r="B417">
        <v>2023</v>
      </c>
      <c r="C417">
        <v>12</v>
      </c>
      <c r="D417" t="s">
        <v>13</v>
      </c>
      <c r="E417" t="s">
        <v>14</v>
      </c>
      <c r="F417" t="s">
        <v>15</v>
      </c>
      <c r="G417">
        <v>1332457.43624759</v>
      </c>
      <c r="H417">
        <v>1521000</v>
      </c>
      <c r="I417">
        <v>-188542.56375240599</v>
      </c>
      <c r="J417">
        <v>-0.12395960798974701</v>
      </c>
      <c r="K417">
        <v>188542.56375240599</v>
      </c>
      <c r="L417">
        <v>0.12395960798974701</v>
      </c>
    </row>
    <row r="418" spans="1:12" hidden="1" x14ac:dyDescent="0.35">
      <c r="A418" t="s">
        <v>16</v>
      </c>
      <c r="B418">
        <v>2023</v>
      </c>
      <c r="C418">
        <v>12</v>
      </c>
      <c r="D418" t="s">
        <v>13</v>
      </c>
      <c r="E418" t="s">
        <v>14</v>
      </c>
      <c r="F418" t="s">
        <v>15</v>
      </c>
      <c r="G418">
        <v>676400.700783276</v>
      </c>
      <c r="H418">
        <v>929000</v>
      </c>
      <c r="I418">
        <v>-252599.29921672301</v>
      </c>
      <c r="J418">
        <v>-0.27190452014717198</v>
      </c>
      <c r="K418">
        <v>252599.29921672301</v>
      </c>
      <c r="L418">
        <v>0.27190452014717198</v>
      </c>
    </row>
    <row r="419" spans="1:12" hidden="1" x14ac:dyDescent="0.35">
      <c r="A419" t="s">
        <v>17</v>
      </c>
      <c r="B419">
        <v>2023</v>
      </c>
      <c r="C419">
        <v>12</v>
      </c>
      <c r="D419" t="s">
        <v>13</v>
      </c>
      <c r="E419" t="s">
        <v>14</v>
      </c>
      <c r="F419" t="s">
        <v>15</v>
      </c>
      <c r="G419">
        <v>851541.55437165196</v>
      </c>
      <c r="H419">
        <v>1353000</v>
      </c>
      <c r="I419">
        <v>-501458.44562834699</v>
      </c>
      <c r="J419">
        <v>-0.37062708472161598</v>
      </c>
      <c r="K419">
        <v>501458.44562834699</v>
      </c>
      <c r="L419">
        <v>0.37062708472161598</v>
      </c>
    </row>
    <row r="420" spans="1:12" hidden="1" x14ac:dyDescent="0.35">
      <c r="A420" t="s">
        <v>18</v>
      </c>
      <c r="B420">
        <v>2023</v>
      </c>
      <c r="C420">
        <v>12</v>
      </c>
      <c r="D420" t="s">
        <v>13</v>
      </c>
      <c r="E420" t="s">
        <v>14</v>
      </c>
      <c r="F420" t="s">
        <v>15</v>
      </c>
      <c r="G420">
        <v>296849.680364058</v>
      </c>
      <c r="H420">
        <v>445000</v>
      </c>
      <c r="I420">
        <v>-148150.31963594101</v>
      </c>
      <c r="J420">
        <v>-0.33292206659762003</v>
      </c>
      <c r="K420">
        <v>148150.31963594101</v>
      </c>
      <c r="L420">
        <v>0.33292206659762003</v>
      </c>
    </row>
    <row r="421" spans="1:12" hidden="1" x14ac:dyDescent="0.35">
      <c r="A421" t="s">
        <v>19</v>
      </c>
      <c r="B421">
        <v>2023</v>
      </c>
      <c r="C421">
        <v>12</v>
      </c>
      <c r="D421" t="s">
        <v>13</v>
      </c>
      <c r="E421" t="s">
        <v>14</v>
      </c>
      <c r="F421" t="s">
        <v>15</v>
      </c>
      <c r="G421">
        <v>1329232.4961313</v>
      </c>
      <c r="H421">
        <v>1728000</v>
      </c>
      <c r="I421">
        <v>-398767.503868695</v>
      </c>
      <c r="J421">
        <v>-0.23076823140549499</v>
      </c>
      <c r="K421">
        <v>398767.503868695</v>
      </c>
      <c r="L421">
        <v>0.23076823140549499</v>
      </c>
    </row>
  </sheetData>
  <autoFilter ref="A1:L421" xr:uid="{5AAA0903-9DFB-4C20-A8DE-D42B0042FF62}">
    <filterColumn colId="1">
      <filters>
        <filter val="2023"/>
      </filters>
    </filterColumn>
    <filterColumn colId="2">
      <filters>
        <filter val="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DF56-B34A-4ACC-9B13-3ED8928DC7DB}">
  <dimension ref="B2:W35"/>
  <sheetViews>
    <sheetView tabSelected="1" zoomScale="70" zoomScaleNormal="70" workbookViewId="0">
      <selection activeCell="L34" sqref="L34"/>
    </sheetView>
  </sheetViews>
  <sheetFormatPr defaultRowHeight="14.5" x14ac:dyDescent="0.35"/>
  <cols>
    <col min="4" max="4" width="10.453125" customWidth="1"/>
    <col min="5" max="5" width="10.1796875" customWidth="1"/>
    <col min="6" max="6" width="10.453125" customWidth="1"/>
    <col min="7" max="7" width="10.36328125" customWidth="1"/>
    <col min="8" max="8" width="11.54296875" customWidth="1"/>
    <col min="9" max="9" width="11.81640625" customWidth="1"/>
  </cols>
  <sheetData>
    <row r="2" spans="2:23" x14ac:dyDescent="0.35">
      <c r="B2">
        <v>2022</v>
      </c>
      <c r="R2" t="s">
        <v>27</v>
      </c>
      <c r="W2" t="s">
        <v>26</v>
      </c>
    </row>
    <row r="4" spans="2:23" x14ac:dyDescent="0.35">
      <c r="B4" s="5" t="s">
        <v>0</v>
      </c>
      <c r="C4" s="5" t="s">
        <v>1</v>
      </c>
      <c r="D4" s="5" t="s">
        <v>20</v>
      </c>
      <c r="E4" s="5" t="s">
        <v>7</v>
      </c>
      <c r="F4" s="5" t="s">
        <v>28</v>
      </c>
      <c r="G4" s="5" t="s">
        <v>25</v>
      </c>
      <c r="H4" s="5" t="s">
        <v>23</v>
      </c>
      <c r="I4" s="5" t="s">
        <v>24</v>
      </c>
    </row>
    <row r="5" spans="2:23" x14ac:dyDescent="0.35">
      <c r="B5" t="s">
        <v>19</v>
      </c>
      <c r="C5">
        <v>2022</v>
      </c>
      <c r="D5">
        <v>9</v>
      </c>
      <c r="E5" s="6">
        <v>1501498</v>
      </c>
      <c r="F5" s="6">
        <v>1806029.2954766101</v>
      </c>
      <c r="G5" s="6">
        <v>1700000</v>
      </c>
      <c r="H5" s="3">
        <f t="shared" ref="H5:I9" si="0">ABS((F5-$E5)/$E5)</f>
        <v>0.20281831575973466</v>
      </c>
      <c r="I5" s="3">
        <f t="shared" si="0"/>
        <v>0.13220264029655718</v>
      </c>
    </row>
    <row r="6" spans="2:23" x14ac:dyDescent="0.35">
      <c r="B6" t="s">
        <v>12</v>
      </c>
      <c r="C6">
        <v>2022</v>
      </c>
      <c r="D6">
        <v>9</v>
      </c>
      <c r="E6" s="6">
        <v>1409120</v>
      </c>
      <c r="F6" s="6">
        <v>1441997.1873594299</v>
      </c>
      <c r="G6" s="6">
        <f>932000/0.68</f>
        <v>1370588.2352941176</v>
      </c>
      <c r="H6" s="3">
        <f t="shared" si="0"/>
        <v>2.3331715793849989E-2</v>
      </c>
      <c r="I6" s="3">
        <f t="shared" si="0"/>
        <v>2.7344558806831502E-2</v>
      </c>
    </row>
    <row r="7" spans="2:23" x14ac:dyDescent="0.35">
      <c r="B7" t="s">
        <v>17</v>
      </c>
      <c r="C7">
        <v>2022</v>
      </c>
      <c r="D7">
        <v>9</v>
      </c>
      <c r="E7" s="6">
        <v>1097033</v>
      </c>
      <c r="F7" s="6">
        <v>1019687.01480499</v>
      </c>
      <c r="G7" s="6">
        <v>1000000</v>
      </c>
      <c r="H7" s="3">
        <f t="shared" si="0"/>
        <v>7.0504702406408895E-2</v>
      </c>
      <c r="I7" s="3">
        <f t="shared" si="0"/>
        <v>8.8450393014613049E-2</v>
      </c>
    </row>
    <row r="8" spans="2:23" x14ac:dyDescent="0.35">
      <c r="B8" t="s">
        <v>16</v>
      </c>
      <c r="C8">
        <v>2022</v>
      </c>
      <c r="D8">
        <v>9</v>
      </c>
      <c r="E8" s="6">
        <v>787750</v>
      </c>
      <c r="F8" s="6">
        <v>786089.37377156096</v>
      </c>
      <c r="G8" s="6">
        <v>500000</v>
      </c>
      <c r="H8" s="3">
        <f t="shared" si="0"/>
        <v>2.1080624924646645E-3</v>
      </c>
      <c r="I8" s="3">
        <f t="shared" si="0"/>
        <v>0.365280863218026</v>
      </c>
    </row>
    <row r="9" spans="2:23" x14ac:dyDescent="0.35">
      <c r="B9" t="s">
        <v>18</v>
      </c>
      <c r="C9">
        <v>2022</v>
      </c>
      <c r="D9">
        <v>9</v>
      </c>
      <c r="E9" s="6">
        <v>363164</v>
      </c>
      <c r="F9" s="6">
        <v>355220.56690548401</v>
      </c>
      <c r="G9" s="6">
        <v>270000</v>
      </c>
      <c r="H9" s="3">
        <f t="shared" si="0"/>
        <v>2.1872853847066311E-2</v>
      </c>
      <c r="I9" s="3">
        <f t="shared" si="0"/>
        <v>0.2565342379751297</v>
      </c>
    </row>
    <row r="10" spans="2:23" x14ac:dyDescent="0.35">
      <c r="B10" s="5"/>
      <c r="C10" s="5"/>
      <c r="D10" s="5"/>
      <c r="E10" s="7"/>
      <c r="F10" s="7"/>
      <c r="G10" s="7"/>
      <c r="H10" s="8">
        <f>AVERAGE(H5:H9)</f>
        <v>6.4127130059904905E-2</v>
      </c>
      <c r="I10" s="8">
        <f>AVERAGE(I5:I9)</f>
        <v>0.17396253866223149</v>
      </c>
    </row>
    <row r="11" spans="2:23" x14ac:dyDescent="0.35">
      <c r="H11" s="1">
        <f>(I10-H10)/I10</f>
        <v>0.63137391214774585</v>
      </c>
    </row>
    <row r="12" spans="2:23" x14ac:dyDescent="0.35">
      <c r="B12">
        <v>2023</v>
      </c>
    </row>
    <row r="14" spans="2:23" x14ac:dyDescent="0.35">
      <c r="B14" s="5" t="s">
        <v>0</v>
      </c>
      <c r="C14" s="5" t="s">
        <v>1</v>
      </c>
      <c r="D14" s="5" t="s">
        <v>20</v>
      </c>
      <c r="E14" s="5" t="s">
        <v>21</v>
      </c>
      <c r="F14" s="5" t="s">
        <v>28</v>
      </c>
      <c r="G14" s="5" t="s">
        <v>22</v>
      </c>
      <c r="H14" s="5" t="s">
        <v>23</v>
      </c>
      <c r="I14" s="5" t="s">
        <v>24</v>
      </c>
    </row>
    <row r="15" spans="2:23" x14ac:dyDescent="0.35">
      <c r="B15" t="s">
        <v>19</v>
      </c>
      <c r="C15">
        <v>2023</v>
      </c>
      <c r="D15">
        <v>5</v>
      </c>
      <c r="E15" s="4">
        <v>1728000</v>
      </c>
      <c r="F15" s="4">
        <v>1639202.9529673699</v>
      </c>
      <c r="G15" s="4">
        <v>1715000</v>
      </c>
      <c r="H15" s="3">
        <f t="shared" ref="H15:I19" si="1">ABS((F15-$E15)/$E15)</f>
        <v>5.1387179995734993E-2</v>
      </c>
      <c r="I15" s="3">
        <f t="shared" si="1"/>
        <v>7.5231481481481477E-3</v>
      </c>
    </row>
    <row r="16" spans="2:23" x14ac:dyDescent="0.35">
      <c r="B16" t="s">
        <v>12</v>
      </c>
      <c r="C16">
        <v>2023</v>
      </c>
      <c r="D16">
        <v>5</v>
      </c>
      <c r="E16" s="4">
        <v>1521000</v>
      </c>
      <c r="F16" s="4">
        <v>1426744.25379877</v>
      </c>
      <c r="G16" s="4">
        <f>952000/0.68</f>
        <v>1400000</v>
      </c>
      <c r="H16" s="3">
        <f t="shared" si="1"/>
        <v>6.1969589875890851E-2</v>
      </c>
      <c r="I16" s="3">
        <f t="shared" si="1"/>
        <v>7.955292570677186E-2</v>
      </c>
    </row>
    <row r="17" spans="2:9" x14ac:dyDescent="0.35">
      <c r="B17" t="s">
        <v>17</v>
      </c>
      <c r="C17">
        <v>2023</v>
      </c>
      <c r="D17">
        <v>5</v>
      </c>
      <c r="E17" s="4">
        <v>1353000</v>
      </c>
      <c r="F17" s="4">
        <v>1191624.0201697899</v>
      </c>
      <c r="G17" s="4">
        <v>1000000</v>
      </c>
      <c r="H17" s="3">
        <f t="shared" si="1"/>
        <v>0.11927271236526985</v>
      </c>
      <c r="I17" s="3">
        <f t="shared" si="1"/>
        <v>0.26090169992609019</v>
      </c>
    </row>
    <row r="18" spans="2:9" x14ac:dyDescent="0.35">
      <c r="B18" t="s">
        <v>16</v>
      </c>
      <c r="C18">
        <v>2023</v>
      </c>
      <c r="D18">
        <v>5</v>
      </c>
      <c r="E18" s="4">
        <v>929000</v>
      </c>
      <c r="F18" s="4">
        <v>917561.83318960899</v>
      </c>
      <c r="G18" s="4">
        <v>650000</v>
      </c>
      <c r="H18" s="3">
        <f t="shared" si="1"/>
        <v>1.2312343175878369E-2</v>
      </c>
      <c r="I18" s="3">
        <f t="shared" si="1"/>
        <v>0.30032292787944026</v>
      </c>
    </row>
    <row r="19" spans="2:9" x14ac:dyDescent="0.35">
      <c r="B19" t="s">
        <v>18</v>
      </c>
      <c r="C19">
        <v>2023</v>
      </c>
      <c r="D19">
        <v>5</v>
      </c>
      <c r="E19" s="4">
        <v>445000</v>
      </c>
      <c r="F19" s="4">
        <v>385564.877499444</v>
      </c>
      <c r="G19" s="4">
        <v>330000</v>
      </c>
      <c r="H19" s="3">
        <f t="shared" si="1"/>
        <v>0.13356207303495729</v>
      </c>
      <c r="I19" s="3">
        <f t="shared" si="1"/>
        <v>0.25842696629213485</v>
      </c>
    </row>
    <row r="20" spans="2:9" x14ac:dyDescent="0.35">
      <c r="B20" s="5"/>
      <c r="C20" s="5"/>
      <c r="D20" s="5"/>
      <c r="E20" s="7"/>
      <c r="F20" s="7"/>
      <c r="G20" s="7"/>
      <c r="H20" s="8">
        <f>AVERAGE(H15:H19)</f>
        <v>7.5700779689546277E-2</v>
      </c>
      <c r="I20" s="8">
        <f>AVERAGE(I15:I19)</f>
        <v>0.18134553359051706</v>
      </c>
    </row>
    <row r="21" spans="2:9" x14ac:dyDescent="0.35">
      <c r="H21" s="1">
        <f>(I20-H20)/I20</f>
        <v>0.582560550620008</v>
      </c>
    </row>
    <row r="26" spans="2:9" x14ac:dyDescent="0.35">
      <c r="B26">
        <v>2024</v>
      </c>
    </row>
    <row r="28" spans="2:9" x14ac:dyDescent="0.35">
      <c r="B28" s="5" t="s">
        <v>0</v>
      </c>
      <c r="C28" s="5" t="s">
        <v>1</v>
      </c>
      <c r="D28" s="5" t="s">
        <v>20</v>
      </c>
      <c r="E28" s="5" t="s">
        <v>21</v>
      </c>
      <c r="F28" s="5" t="s">
        <v>30</v>
      </c>
      <c r="G28" s="5" t="s">
        <v>25</v>
      </c>
      <c r="H28" s="5" t="s">
        <v>29</v>
      </c>
      <c r="I28" s="5" t="s">
        <v>24</v>
      </c>
    </row>
    <row r="29" spans="2:9" x14ac:dyDescent="0.35">
      <c r="B29" t="s">
        <v>19</v>
      </c>
      <c r="C29">
        <v>2024</v>
      </c>
      <c r="D29">
        <v>8</v>
      </c>
      <c r="E29" s="4"/>
      <c r="F29" s="9">
        <v>1880953.2993578699</v>
      </c>
      <c r="G29" s="9">
        <v>1728000</v>
      </c>
      <c r="H29" s="3">
        <f>(F29-G29)/G29</f>
        <v>8.851464083210063E-2</v>
      </c>
      <c r="I29" s="3" t="e">
        <f t="shared" ref="I29:I33" si="2">ABS((G29-$E29)/$E29)</f>
        <v>#DIV/0!</v>
      </c>
    </row>
    <row r="30" spans="2:9" x14ac:dyDescent="0.35">
      <c r="B30" t="s">
        <v>12</v>
      </c>
      <c r="C30">
        <v>2024</v>
      </c>
      <c r="D30">
        <v>8</v>
      </c>
      <c r="E30" s="4"/>
      <c r="F30" s="9">
        <v>1678256.4724063801</v>
      </c>
      <c r="G30" s="9">
        <f>1034000/0.68</f>
        <v>1520588.2352941176</v>
      </c>
      <c r="H30" s="3">
        <f t="shared" ref="H30:H33" si="3">(F30-G30)/G30</f>
        <v>0.10368897605061753</v>
      </c>
      <c r="I30" s="3" t="e">
        <f t="shared" si="2"/>
        <v>#DIV/0!</v>
      </c>
    </row>
    <row r="31" spans="2:9" x14ac:dyDescent="0.35">
      <c r="B31" t="s">
        <v>17</v>
      </c>
      <c r="C31">
        <v>2024</v>
      </c>
      <c r="D31">
        <v>8</v>
      </c>
      <c r="E31" s="4"/>
      <c r="F31" s="9">
        <v>1544194.88818619</v>
      </c>
      <c r="G31" s="9">
        <v>1353000</v>
      </c>
      <c r="H31" s="3">
        <f t="shared" si="3"/>
        <v>0.14131181684123434</v>
      </c>
      <c r="I31" s="3" t="e">
        <f t="shared" si="2"/>
        <v>#DIV/0!</v>
      </c>
    </row>
    <row r="32" spans="2:9" x14ac:dyDescent="0.35">
      <c r="B32" t="s">
        <v>16</v>
      </c>
      <c r="C32">
        <v>2024</v>
      </c>
      <c r="D32">
        <v>8</v>
      </c>
      <c r="E32" s="4"/>
      <c r="F32" s="9">
        <v>1040537.09847153</v>
      </c>
      <c r="G32" s="9">
        <v>929000</v>
      </c>
      <c r="H32" s="3">
        <f t="shared" si="3"/>
        <v>0.12006146229443489</v>
      </c>
      <c r="I32" s="3" t="e">
        <f t="shared" si="2"/>
        <v>#DIV/0!</v>
      </c>
    </row>
    <row r="33" spans="2:9" x14ac:dyDescent="0.35">
      <c r="B33" t="s">
        <v>18</v>
      </c>
      <c r="C33">
        <v>2024</v>
      </c>
      <c r="D33">
        <v>8</v>
      </c>
      <c r="E33" s="4"/>
      <c r="F33" s="9">
        <v>507187.13420673099</v>
      </c>
      <c r="G33" s="9">
        <v>445000</v>
      </c>
      <c r="H33" s="3">
        <f t="shared" si="3"/>
        <v>0.13974636900388987</v>
      </c>
      <c r="I33" s="3" t="e">
        <f t="shared" si="2"/>
        <v>#DIV/0!</v>
      </c>
    </row>
    <row r="34" spans="2:9" x14ac:dyDescent="0.35">
      <c r="B34" s="5"/>
      <c r="C34" s="5"/>
      <c r="D34" s="5"/>
      <c r="E34" s="7"/>
      <c r="F34" s="7"/>
      <c r="G34" s="7"/>
      <c r="H34" s="8"/>
      <c r="I34" s="8"/>
    </row>
    <row r="35" spans="2:9" x14ac:dyDescent="0.35">
      <c r="H35" s="1"/>
    </row>
  </sheetData>
  <autoFilter ref="B14:I14" xr:uid="{E511DF56-B34A-4ACC-9B13-3ED8928DC7DB}">
    <sortState xmlns:xlrd2="http://schemas.microsoft.com/office/spreadsheetml/2017/richdata2" ref="B15:I19">
      <sortCondition descending="1" ref="E14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all_results-2024-08-15_08-59-51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Warren</dc:creator>
  <cp:lastModifiedBy>Michael Warren</cp:lastModifiedBy>
  <dcterms:created xsi:type="dcterms:W3CDTF">2024-08-15T09:09:10Z</dcterms:created>
  <dcterms:modified xsi:type="dcterms:W3CDTF">2024-08-18T20:03:34Z</dcterms:modified>
</cp:coreProperties>
</file>