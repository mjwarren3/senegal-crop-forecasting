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j\OneDrive\Desktop\smart-ag\yield-prediction-project\"/>
    </mc:Choice>
  </mc:AlternateContent>
  <xr:revisionPtr revIDLastSave="0" documentId="8_{D82BF5F4-5BB3-43A9-BEE5-FA07B97F5A0B}" xr6:coauthVersionLast="47" xr6:coauthVersionMax="47" xr10:uidLastSave="{00000000-0000-0000-0000-000000000000}"/>
  <bookViews>
    <workbookView xWindow="-110" yWindow="-110" windowWidth="19420" windowHeight="10420" firstSheet="1" activeTab="5" xr2:uid="{9683C55F-F4A8-44EC-82A4-301DA7AAB1B4}"/>
  </bookViews>
  <sheets>
    <sheet name="Pivot" sheetId="2" r:id="rId1"/>
    <sheet name="Rice_Data" sheetId="5" r:id="rId2"/>
    <sheet name="Rice_Correlation" sheetId="9" r:id="rId3"/>
    <sheet name="Corn_Data" sheetId="3" r:id="rId4"/>
    <sheet name="Corn_Correlation" sheetId="4" r:id="rId5"/>
    <sheet name="final_data_8" sheetId="1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5" l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" i="5"/>
  <c r="F4" i="5"/>
  <c r="G4" i="5"/>
  <c r="F5" i="5"/>
  <c r="G5" i="5" s="1"/>
  <c r="F6" i="5"/>
  <c r="G6" i="5" s="1"/>
  <c r="F7" i="5"/>
  <c r="G7" i="5"/>
  <c r="F8" i="5"/>
  <c r="G8" i="5"/>
  <c r="F9" i="5"/>
  <c r="G9" i="5" s="1"/>
  <c r="F10" i="5"/>
  <c r="G10" i="5"/>
  <c r="F11" i="5"/>
  <c r="G11" i="5"/>
  <c r="F12" i="5"/>
  <c r="G12" i="5"/>
  <c r="F13" i="5"/>
  <c r="G13" i="5" s="1"/>
  <c r="F14" i="5"/>
  <c r="G14" i="5"/>
  <c r="F15" i="5"/>
  <c r="G15" i="5"/>
  <c r="F16" i="5"/>
  <c r="G16" i="5"/>
  <c r="F17" i="5"/>
  <c r="G17" i="5" s="1"/>
  <c r="F18" i="5"/>
  <c r="G18" i="5"/>
  <c r="F19" i="5"/>
  <c r="G19" i="5"/>
  <c r="F20" i="5"/>
  <c r="G20" i="5" s="1"/>
  <c r="F21" i="5"/>
  <c r="G21" i="5" s="1"/>
  <c r="F22" i="5"/>
  <c r="G22" i="5"/>
  <c r="F23" i="5"/>
  <c r="G23" i="5"/>
  <c r="F24" i="5"/>
  <c r="G24" i="5"/>
  <c r="F25" i="5"/>
  <c r="G25" i="5" s="1"/>
  <c r="F26" i="5"/>
  <c r="G26" i="5"/>
  <c r="F27" i="5"/>
  <c r="G27" i="5"/>
  <c r="F28" i="5"/>
  <c r="G28" i="5"/>
  <c r="F29" i="5"/>
  <c r="G29" i="5" s="1"/>
  <c r="F30" i="5"/>
  <c r="G30" i="5"/>
  <c r="G3" i="5"/>
  <c r="F3" i="5"/>
  <c r="H4" i="5"/>
  <c r="I4" i="5" s="1"/>
  <c r="H5" i="5"/>
  <c r="I5" i="5" s="1"/>
  <c r="H6" i="5"/>
  <c r="I6" i="5" s="1"/>
  <c r="H7" i="5"/>
  <c r="I7" i="5" s="1"/>
  <c r="H8" i="5"/>
  <c r="I8" i="5" s="1"/>
  <c r="H9" i="5"/>
  <c r="I9" i="5" s="1"/>
  <c r="H10" i="5"/>
  <c r="I10" i="5"/>
  <c r="H11" i="5"/>
  <c r="I11" i="5" s="1"/>
  <c r="H12" i="5"/>
  <c r="I12" i="5" s="1"/>
  <c r="H13" i="5"/>
  <c r="I13" i="5" s="1"/>
  <c r="H14" i="5"/>
  <c r="I14" i="5" s="1"/>
  <c r="H15" i="5"/>
  <c r="I15" i="5" s="1"/>
  <c r="H16" i="5"/>
  <c r="I16" i="5" s="1"/>
  <c r="H17" i="5"/>
  <c r="I17" i="5" s="1"/>
  <c r="H18" i="5"/>
  <c r="I18" i="5" s="1"/>
  <c r="H19" i="5"/>
  <c r="I19" i="5"/>
  <c r="H20" i="5"/>
  <c r="I20" i="5" s="1"/>
  <c r="H21" i="5"/>
  <c r="I21" i="5" s="1"/>
  <c r="H22" i="5"/>
  <c r="I22" i="5" s="1"/>
  <c r="H23" i="5"/>
  <c r="I23" i="5" s="1"/>
  <c r="H24" i="5"/>
  <c r="I24" i="5" s="1"/>
  <c r="H25" i="5"/>
  <c r="I25" i="5"/>
  <c r="H26" i="5"/>
  <c r="I26" i="5" s="1"/>
  <c r="H27" i="5"/>
  <c r="I27" i="5" s="1"/>
  <c r="H28" i="5"/>
  <c r="I28" i="5" s="1"/>
  <c r="H29" i="5"/>
  <c r="I29" i="5" s="1"/>
  <c r="H30" i="5"/>
  <c r="I30" i="5" s="1"/>
  <c r="H3" i="5"/>
  <c r="I3" i="5" s="1"/>
  <c r="J4" i="5"/>
  <c r="K4" i="5" s="1"/>
  <c r="J5" i="5"/>
  <c r="K5" i="5" s="1"/>
  <c r="J6" i="5"/>
  <c r="K6" i="5" s="1"/>
  <c r="J7" i="5"/>
  <c r="K7" i="5" s="1"/>
  <c r="J8" i="5"/>
  <c r="K8" i="5" s="1"/>
  <c r="J9" i="5"/>
  <c r="K9" i="5" s="1"/>
  <c r="J10" i="5"/>
  <c r="K10" i="5" s="1"/>
  <c r="J11" i="5"/>
  <c r="K11" i="5" s="1"/>
  <c r="J12" i="5"/>
  <c r="K12" i="5" s="1"/>
  <c r="J13" i="5"/>
  <c r="K13" i="5" s="1"/>
  <c r="J14" i="5"/>
  <c r="K14" i="5" s="1"/>
  <c r="J15" i="5"/>
  <c r="K15" i="5" s="1"/>
  <c r="J16" i="5"/>
  <c r="K16" i="5" s="1"/>
  <c r="J17" i="5"/>
  <c r="K17" i="5" s="1"/>
  <c r="J18" i="5"/>
  <c r="K18" i="5" s="1"/>
  <c r="J19" i="5"/>
  <c r="K19" i="5" s="1"/>
  <c r="J20" i="5"/>
  <c r="K20" i="5" s="1"/>
  <c r="J21" i="5"/>
  <c r="K21" i="5" s="1"/>
  <c r="J22" i="5"/>
  <c r="K22" i="5" s="1"/>
  <c r="J23" i="5"/>
  <c r="K23" i="5" s="1"/>
  <c r="J24" i="5"/>
  <c r="K24" i="5" s="1"/>
  <c r="J25" i="5"/>
  <c r="K25" i="5" s="1"/>
  <c r="J26" i="5"/>
  <c r="K26" i="5" s="1"/>
  <c r="J27" i="5"/>
  <c r="K27" i="5" s="1"/>
  <c r="J28" i="5"/>
  <c r="K28" i="5" s="1"/>
  <c r="J29" i="5"/>
  <c r="K29" i="5" s="1"/>
  <c r="J30" i="5"/>
  <c r="K30" i="5" s="1"/>
  <c r="J3" i="5"/>
  <c r="K3" i="5" s="1"/>
  <c r="W1" i="1" l="1"/>
  <c r="V1" i="1"/>
  <c r="U1" i="1"/>
  <c r="T1" i="1"/>
  <c r="S1" i="1"/>
  <c r="R1" i="1"/>
  <c r="AQ1" i="1"/>
  <c r="AP1" i="1"/>
  <c r="AO1" i="1"/>
  <c r="AN1" i="1"/>
  <c r="AM1" i="1"/>
  <c r="AL1" i="1"/>
  <c r="BK1" i="1"/>
  <c r="BJ1" i="1"/>
  <c r="BI1" i="1"/>
  <c r="BH1" i="1"/>
  <c r="BG1" i="1"/>
  <c r="BF1" i="1"/>
  <c r="BN147" i="1" l="1" a="1"/>
  <c r="BN147" i="1" s="1"/>
  <c r="BM6" i="1" a="1"/>
  <c r="BM6" i="1" s="1"/>
  <c r="BM14" i="1" a="1"/>
  <c r="BM14" i="1" s="1"/>
  <c r="BM22" i="1" a="1"/>
  <c r="BM22" i="1" s="1"/>
  <c r="BM30" i="1" a="1"/>
  <c r="BM30" i="1" s="1"/>
  <c r="BM38" i="1" a="1"/>
  <c r="BM38" i="1" s="1"/>
  <c r="BM62" i="1" a="1"/>
  <c r="BM62" i="1" s="1"/>
  <c r="BM70" i="1" a="1"/>
  <c r="BM70" i="1" s="1"/>
  <c r="BM78" i="1" a="1"/>
  <c r="BM78" i="1" s="1"/>
  <c r="BM86" i="1" a="1"/>
  <c r="BM86" i="1" s="1"/>
  <c r="BM94" i="1" a="1"/>
  <c r="BM94" i="1" s="1"/>
  <c r="BM102" i="1" a="1"/>
  <c r="BM102" i="1" s="1"/>
  <c r="BM110" i="1" a="1"/>
  <c r="BM110" i="1" s="1"/>
  <c r="BM118" i="1" a="1"/>
  <c r="BM118" i="1" s="1"/>
  <c r="BM126" i="1" a="1"/>
  <c r="BM126" i="1" s="1"/>
  <c r="BM134" i="1" a="1"/>
  <c r="BM134" i="1" s="1"/>
  <c r="BM142" i="1" a="1"/>
  <c r="BM142" i="1" s="1"/>
  <c r="BL141" i="1" a="1"/>
  <c r="BL141" i="1" s="1"/>
  <c r="BL125" i="1" a="1"/>
  <c r="BL125" i="1" s="1"/>
  <c r="BL109" i="1" a="1"/>
  <c r="BL109" i="1" s="1"/>
  <c r="BL93" i="1" a="1"/>
  <c r="BL93" i="1" s="1"/>
  <c r="BL77" i="1" a="1"/>
  <c r="BL77" i="1" s="1"/>
  <c r="BL61" i="1" a="1"/>
  <c r="BL61" i="1" s="1"/>
  <c r="BL45" i="1" a="1"/>
  <c r="BL45" i="1" s="1"/>
  <c r="BL29" i="1" a="1"/>
  <c r="BL29" i="1" s="1"/>
  <c r="BL13" i="1" a="1"/>
  <c r="BL13" i="1" s="1"/>
  <c r="BN4" i="1" a="1"/>
  <c r="BN4" i="1" s="1"/>
  <c r="BN12" i="1" a="1"/>
  <c r="BN12" i="1" s="1"/>
  <c r="BN20" i="1" a="1"/>
  <c r="BN20" i="1" s="1"/>
  <c r="BN28" i="1" a="1"/>
  <c r="BN28" i="1" s="1"/>
  <c r="BN36" i="1" a="1"/>
  <c r="BN36" i="1" s="1"/>
  <c r="BN44" i="1" a="1"/>
  <c r="BN44" i="1" s="1"/>
  <c r="BN52" i="1" a="1"/>
  <c r="BN52" i="1" s="1"/>
  <c r="BN60" i="1" a="1"/>
  <c r="BN60" i="1" s="1"/>
  <c r="BN68" i="1" a="1"/>
  <c r="BN68" i="1" s="1"/>
  <c r="BN76" i="1" a="1"/>
  <c r="BN76" i="1" s="1"/>
  <c r="BN84" i="1" a="1"/>
  <c r="BN84" i="1" s="1"/>
  <c r="BN92" i="1" a="1"/>
  <c r="BN92" i="1" s="1"/>
  <c r="BN100" i="1" a="1"/>
  <c r="BN100" i="1" s="1"/>
  <c r="BN108" i="1" a="1"/>
  <c r="BN108" i="1" s="1"/>
  <c r="BN116" i="1" a="1"/>
  <c r="BN116" i="1" s="1"/>
  <c r="BN124" i="1" a="1"/>
  <c r="BN124" i="1" s="1"/>
  <c r="BN132" i="1" a="1"/>
  <c r="BN132" i="1" s="1"/>
  <c r="BN140" i="1" a="1"/>
  <c r="BN140" i="1" s="1"/>
  <c r="BM23" i="1" a="1"/>
  <c r="BM23" i="1" s="1"/>
  <c r="BM47" i="1" a="1"/>
  <c r="BM47" i="1" s="1"/>
  <c r="BM71" i="1" a="1"/>
  <c r="BM71" i="1" s="1"/>
  <c r="BM95" i="1" a="1"/>
  <c r="BM95" i="1" s="1"/>
  <c r="BM119" i="1" a="1"/>
  <c r="BM119" i="1" s="1"/>
  <c r="BM127" i="1" a="1"/>
  <c r="BM127" i="1" s="1"/>
  <c r="BM135" i="1" a="1"/>
  <c r="BM135" i="1" s="1"/>
  <c r="BM143" i="1" a="1"/>
  <c r="BM143" i="1" s="1"/>
  <c r="BL146" i="1" a="1"/>
  <c r="BL146" i="1" s="1"/>
  <c r="BL140" i="1" a="1"/>
  <c r="BL140" i="1" s="1"/>
  <c r="BL135" i="1" a="1"/>
  <c r="BL135" i="1" s="1"/>
  <c r="BL130" i="1" a="1"/>
  <c r="BL130" i="1" s="1"/>
  <c r="BL124" i="1" a="1"/>
  <c r="BL124" i="1" s="1"/>
  <c r="BL108" i="1" a="1"/>
  <c r="BL108" i="1" s="1"/>
  <c r="BL103" i="1" a="1"/>
  <c r="BL103" i="1" s="1"/>
  <c r="BL98" i="1" a="1"/>
  <c r="BL98" i="1" s="1"/>
  <c r="BL92" i="1" a="1"/>
  <c r="BL92" i="1" s="1"/>
  <c r="BL87" i="1" a="1"/>
  <c r="BL87" i="1" s="1"/>
  <c r="BL82" i="1" a="1"/>
  <c r="BL82" i="1" s="1"/>
  <c r="BL76" i="1" a="1"/>
  <c r="BL76" i="1" s="1"/>
  <c r="BL71" i="1" a="1"/>
  <c r="BL71" i="1" s="1"/>
  <c r="BL66" i="1" a="1"/>
  <c r="BL66" i="1" s="1"/>
  <c r="BL60" i="1" a="1"/>
  <c r="BL60" i="1" s="1"/>
  <c r="BL55" i="1" a="1"/>
  <c r="BL55" i="1" s="1"/>
  <c r="BL50" i="1" a="1"/>
  <c r="BL50" i="1" s="1"/>
  <c r="BL44" i="1" a="1"/>
  <c r="BL44" i="1" s="1"/>
  <c r="BL39" i="1" a="1"/>
  <c r="BL39" i="1" s="1"/>
  <c r="BL34" i="1" a="1"/>
  <c r="BL34" i="1" s="1"/>
  <c r="BL28" i="1" a="1"/>
  <c r="BL28" i="1" s="1"/>
  <c r="BL23" i="1" a="1"/>
  <c r="BL23" i="1" s="1"/>
  <c r="BL18" i="1" a="1"/>
  <c r="BL18" i="1" s="1"/>
  <c r="BL12" i="1" a="1"/>
  <c r="BL12" i="1" s="1"/>
  <c r="BL7" i="1" a="1"/>
  <c r="BL7" i="1" s="1"/>
  <c r="BN5" i="1" a="1"/>
  <c r="BN5" i="1" s="1"/>
  <c r="BN13" i="1" a="1"/>
  <c r="BN13" i="1" s="1"/>
  <c r="BN21" i="1" a="1"/>
  <c r="BN21" i="1" s="1"/>
  <c r="BN29" i="1" a="1"/>
  <c r="BN29" i="1" s="1"/>
  <c r="BN37" i="1" a="1"/>
  <c r="BN37" i="1" s="1"/>
  <c r="BN45" i="1" a="1"/>
  <c r="BN45" i="1" s="1"/>
  <c r="BN53" i="1" a="1"/>
  <c r="BN53" i="1" s="1"/>
  <c r="BN61" i="1" a="1"/>
  <c r="BN61" i="1" s="1"/>
  <c r="BN69" i="1" a="1"/>
  <c r="BN69" i="1" s="1"/>
  <c r="BN77" i="1" a="1"/>
  <c r="BN77" i="1" s="1"/>
  <c r="BN85" i="1" a="1"/>
  <c r="BN85" i="1" s="1"/>
  <c r="BN93" i="1" a="1"/>
  <c r="BN93" i="1" s="1"/>
  <c r="BN101" i="1" a="1"/>
  <c r="BN101" i="1" s="1"/>
  <c r="BN109" i="1" a="1"/>
  <c r="BN109" i="1" s="1"/>
  <c r="BN117" i="1" a="1"/>
  <c r="BN117" i="1" s="1"/>
  <c r="BN125" i="1" a="1"/>
  <c r="BN125" i="1" s="1"/>
  <c r="BN133" i="1" a="1"/>
  <c r="BN133" i="1" s="1"/>
  <c r="BN141" i="1" a="1"/>
  <c r="BN141" i="1" s="1"/>
  <c r="BM46" i="1" a="1"/>
  <c r="BM46" i="1" s="1"/>
  <c r="BM15" i="1" a="1"/>
  <c r="BM15" i="1" s="1"/>
  <c r="BM39" i="1" a="1"/>
  <c r="BM39" i="1" s="1"/>
  <c r="BM63" i="1" a="1"/>
  <c r="BM63" i="1" s="1"/>
  <c r="BM87" i="1" a="1"/>
  <c r="BM87" i="1" s="1"/>
  <c r="BM103" i="1" a="1"/>
  <c r="BM103" i="1" s="1"/>
  <c r="BL119" i="1" a="1"/>
  <c r="BL119" i="1" s="1"/>
  <c r="BM8" i="1" a="1"/>
  <c r="BM8" i="1" s="1"/>
  <c r="BM16" i="1" a="1"/>
  <c r="BM16" i="1" s="1"/>
  <c r="BM24" i="1" a="1"/>
  <c r="BM24" i="1" s="1"/>
  <c r="BM32" i="1" a="1"/>
  <c r="BM32" i="1" s="1"/>
  <c r="BM40" i="1" a="1"/>
  <c r="BM40" i="1" s="1"/>
  <c r="BM56" i="1" a="1"/>
  <c r="BM56" i="1" s="1"/>
  <c r="BM64" i="1" a="1"/>
  <c r="BM64" i="1" s="1"/>
  <c r="BM72" i="1" a="1"/>
  <c r="BM72" i="1" s="1"/>
  <c r="BM80" i="1" a="1"/>
  <c r="BM80" i="1" s="1"/>
  <c r="BM88" i="1" a="1"/>
  <c r="BM88" i="1" s="1"/>
  <c r="BM96" i="1" a="1"/>
  <c r="BM96" i="1" s="1"/>
  <c r="BM104" i="1" a="1"/>
  <c r="BM104" i="1" s="1"/>
  <c r="BM112" i="1" a="1"/>
  <c r="BM112" i="1" s="1"/>
  <c r="BM120" i="1" a="1"/>
  <c r="BM120" i="1" s="1"/>
  <c r="BM128" i="1" a="1"/>
  <c r="BM128" i="1" s="1"/>
  <c r="BM136" i="1" a="1"/>
  <c r="BM136" i="1" s="1"/>
  <c r="BM144" i="1" a="1"/>
  <c r="BM144" i="1" s="1"/>
  <c r="BL145" i="1" a="1"/>
  <c r="BL145" i="1" s="1"/>
  <c r="BL129" i="1" a="1"/>
  <c r="BL129" i="1" s="1"/>
  <c r="BL113" i="1" a="1"/>
  <c r="BL113" i="1" s="1"/>
  <c r="BL97" i="1" a="1"/>
  <c r="BL97" i="1" s="1"/>
  <c r="BL81" i="1" a="1"/>
  <c r="BL81" i="1" s="1"/>
  <c r="BL65" i="1" a="1"/>
  <c r="BL65" i="1" s="1"/>
  <c r="BL49" i="1" a="1"/>
  <c r="BL49" i="1" s="1"/>
  <c r="BL33" i="1" a="1"/>
  <c r="BL33" i="1" s="1"/>
  <c r="BL17" i="1" a="1"/>
  <c r="BL17" i="1" s="1"/>
  <c r="BN6" i="1" a="1"/>
  <c r="BN6" i="1" s="1"/>
  <c r="BN14" i="1" a="1"/>
  <c r="BN14" i="1" s="1"/>
  <c r="BN22" i="1" a="1"/>
  <c r="BN22" i="1" s="1"/>
  <c r="BN30" i="1" a="1"/>
  <c r="BN30" i="1" s="1"/>
  <c r="BN38" i="1" a="1"/>
  <c r="BN38" i="1" s="1"/>
  <c r="BN46" i="1" a="1"/>
  <c r="BN46" i="1" s="1"/>
  <c r="BN54" i="1" a="1"/>
  <c r="BN54" i="1" s="1"/>
  <c r="BN62" i="1" a="1"/>
  <c r="BN62" i="1" s="1"/>
  <c r="BN70" i="1" a="1"/>
  <c r="BN70" i="1" s="1"/>
  <c r="BN78" i="1" a="1"/>
  <c r="BN78" i="1" s="1"/>
  <c r="BN86" i="1" a="1"/>
  <c r="BN86" i="1" s="1"/>
  <c r="BN94" i="1" a="1"/>
  <c r="BN94" i="1" s="1"/>
  <c r="BN102" i="1" a="1"/>
  <c r="BN102" i="1" s="1"/>
  <c r="BN110" i="1" a="1"/>
  <c r="BN110" i="1" s="1"/>
  <c r="BN118" i="1" a="1"/>
  <c r="BN118" i="1" s="1"/>
  <c r="BN126" i="1" a="1"/>
  <c r="BN126" i="1" s="1"/>
  <c r="BN134" i="1" a="1"/>
  <c r="BN134" i="1" s="1"/>
  <c r="BN142" i="1" a="1"/>
  <c r="BN142" i="1" s="1"/>
  <c r="BM54" i="1" a="1"/>
  <c r="BM54" i="1" s="1"/>
  <c r="BM7" i="1" a="1"/>
  <c r="BM7" i="1" s="1"/>
  <c r="BM31" i="1" a="1"/>
  <c r="BM31" i="1" s="1"/>
  <c r="BM55" i="1" a="1"/>
  <c r="BM55" i="1" s="1"/>
  <c r="BM79" i="1" a="1"/>
  <c r="BM79" i="1" s="1"/>
  <c r="BM111" i="1" a="1"/>
  <c r="BM111" i="1" s="1"/>
  <c r="BL114" i="1" a="1"/>
  <c r="BL114" i="1" s="1"/>
  <c r="BM48" i="1" a="1"/>
  <c r="BM48" i="1" s="1"/>
  <c r="BM9" i="1" a="1"/>
  <c r="BM9" i="1" s="1"/>
  <c r="BM17" i="1" a="1"/>
  <c r="BM17" i="1" s="1"/>
  <c r="BM25" i="1" a="1"/>
  <c r="BM25" i="1" s="1"/>
  <c r="BM33" i="1" a="1"/>
  <c r="BM33" i="1" s="1"/>
  <c r="BM41" i="1" a="1"/>
  <c r="BM41" i="1" s="1"/>
  <c r="BM49" i="1" a="1"/>
  <c r="BM49" i="1" s="1"/>
  <c r="BM57" i="1" a="1"/>
  <c r="BM57" i="1" s="1"/>
  <c r="BM65" i="1" a="1"/>
  <c r="BM65" i="1" s="1"/>
  <c r="BM73" i="1" a="1"/>
  <c r="BM73" i="1" s="1"/>
  <c r="BM81" i="1" a="1"/>
  <c r="BM81" i="1" s="1"/>
  <c r="BM89" i="1" a="1"/>
  <c r="BM89" i="1" s="1"/>
  <c r="BM97" i="1" a="1"/>
  <c r="BM97" i="1" s="1"/>
  <c r="BM105" i="1" a="1"/>
  <c r="BM105" i="1" s="1"/>
  <c r="BM113" i="1" a="1"/>
  <c r="BM113" i="1" s="1"/>
  <c r="BM121" i="1" a="1"/>
  <c r="BM121" i="1" s="1"/>
  <c r="BM129" i="1" a="1"/>
  <c r="BM129" i="1" s="1"/>
  <c r="BM137" i="1" a="1"/>
  <c r="BM137" i="1" s="1"/>
  <c r="BM145" i="1" a="1"/>
  <c r="BM145" i="1" s="1"/>
  <c r="BL144" i="1" a="1"/>
  <c r="BL144" i="1" s="1"/>
  <c r="BL139" i="1" a="1"/>
  <c r="BL139" i="1" s="1"/>
  <c r="BL134" i="1" a="1"/>
  <c r="BL134" i="1" s="1"/>
  <c r="BL128" i="1" a="1"/>
  <c r="BL128" i="1" s="1"/>
  <c r="BL123" i="1" a="1"/>
  <c r="BL123" i="1" s="1"/>
  <c r="BL118" i="1" a="1"/>
  <c r="BL118" i="1" s="1"/>
  <c r="BL112" i="1" a="1"/>
  <c r="BL112" i="1" s="1"/>
  <c r="BL107" i="1" a="1"/>
  <c r="BL107" i="1" s="1"/>
  <c r="BL102" i="1" a="1"/>
  <c r="BL102" i="1" s="1"/>
  <c r="BL96" i="1" a="1"/>
  <c r="BL96" i="1" s="1"/>
  <c r="BL91" i="1" a="1"/>
  <c r="BL91" i="1" s="1"/>
  <c r="BL86" i="1" a="1"/>
  <c r="BL86" i="1" s="1"/>
  <c r="BL80" i="1" a="1"/>
  <c r="BL80" i="1" s="1"/>
  <c r="BL75" i="1" a="1"/>
  <c r="BL75" i="1" s="1"/>
  <c r="BL70" i="1" a="1"/>
  <c r="BL70" i="1" s="1"/>
  <c r="BL64" i="1" a="1"/>
  <c r="BL64" i="1" s="1"/>
  <c r="BL59" i="1" a="1"/>
  <c r="BL59" i="1" s="1"/>
  <c r="BL54" i="1" a="1"/>
  <c r="BL54" i="1" s="1"/>
  <c r="BL48" i="1" a="1"/>
  <c r="BL48" i="1" s="1"/>
  <c r="BL43" i="1" a="1"/>
  <c r="BL43" i="1" s="1"/>
  <c r="BL38" i="1" a="1"/>
  <c r="BL38" i="1" s="1"/>
  <c r="BL32" i="1" a="1"/>
  <c r="BL32" i="1" s="1"/>
  <c r="BL27" i="1" a="1"/>
  <c r="BL27" i="1" s="1"/>
  <c r="BL22" i="1" a="1"/>
  <c r="BL22" i="1" s="1"/>
  <c r="BL16" i="1" a="1"/>
  <c r="BL16" i="1" s="1"/>
  <c r="BL11" i="1" a="1"/>
  <c r="BL11" i="1" s="1"/>
  <c r="BL6" i="1" a="1"/>
  <c r="BL6" i="1" s="1"/>
  <c r="BN7" i="1" a="1"/>
  <c r="BN7" i="1" s="1"/>
  <c r="BN15" i="1" a="1"/>
  <c r="BN15" i="1" s="1"/>
  <c r="BN23" i="1" a="1"/>
  <c r="BN23" i="1" s="1"/>
  <c r="BN31" i="1" a="1"/>
  <c r="BN31" i="1" s="1"/>
  <c r="BN39" i="1" a="1"/>
  <c r="BN39" i="1" s="1"/>
  <c r="BN47" i="1" a="1"/>
  <c r="BN47" i="1" s="1"/>
  <c r="BN55" i="1" a="1"/>
  <c r="BN55" i="1" s="1"/>
  <c r="BN63" i="1" a="1"/>
  <c r="BN63" i="1" s="1"/>
  <c r="BN71" i="1" a="1"/>
  <c r="BN71" i="1" s="1"/>
  <c r="BN79" i="1" a="1"/>
  <c r="BN79" i="1" s="1"/>
  <c r="BN87" i="1" a="1"/>
  <c r="BN87" i="1" s="1"/>
  <c r="BN95" i="1" a="1"/>
  <c r="BN95" i="1" s="1"/>
  <c r="BN103" i="1" a="1"/>
  <c r="BN103" i="1" s="1"/>
  <c r="BN111" i="1" a="1"/>
  <c r="BN111" i="1" s="1"/>
  <c r="BN119" i="1" a="1"/>
  <c r="BN119" i="1" s="1"/>
  <c r="BN127" i="1" a="1"/>
  <c r="BN127" i="1" s="1"/>
  <c r="BN135" i="1" a="1"/>
  <c r="BN135" i="1" s="1"/>
  <c r="BN143" i="1" a="1"/>
  <c r="BN143" i="1" s="1"/>
  <c r="BL3" i="1" a="1"/>
  <c r="BL3" i="1" s="1"/>
  <c r="BM10" i="1" a="1"/>
  <c r="BM10" i="1" s="1"/>
  <c r="BM18" i="1" a="1"/>
  <c r="BM18" i="1" s="1"/>
  <c r="BM26" i="1" a="1"/>
  <c r="BM26" i="1" s="1"/>
  <c r="BM34" i="1" a="1"/>
  <c r="BM34" i="1" s="1"/>
  <c r="BM42" i="1" a="1"/>
  <c r="BM42" i="1" s="1"/>
  <c r="BM50" i="1" a="1"/>
  <c r="BM50" i="1" s="1"/>
  <c r="BM58" i="1" a="1"/>
  <c r="BM58" i="1" s="1"/>
  <c r="BM66" i="1" a="1"/>
  <c r="BM66" i="1" s="1"/>
  <c r="BM74" i="1" a="1"/>
  <c r="BM74" i="1" s="1"/>
  <c r="BM82" i="1" a="1"/>
  <c r="BM82" i="1" s="1"/>
  <c r="BM90" i="1" a="1"/>
  <c r="BM90" i="1" s="1"/>
  <c r="BM98" i="1" a="1"/>
  <c r="BM98" i="1" s="1"/>
  <c r="BM106" i="1" a="1"/>
  <c r="BM106" i="1" s="1"/>
  <c r="BM114" i="1" a="1"/>
  <c r="BM114" i="1" s="1"/>
  <c r="BM122" i="1" a="1"/>
  <c r="BM122" i="1" s="1"/>
  <c r="BM130" i="1" a="1"/>
  <c r="BM130" i="1" s="1"/>
  <c r="BM138" i="1" a="1"/>
  <c r="BM138" i="1" s="1"/>
  <c r="BM146" i="1" a="1"/>
  <c r="BM146" i="1" s="1"/>
  <c r="BL133" i="1" a="1"/>
  <c r="BL133" i="1" s="1"/>
  <c r="BL117" i="1" a="1"/>
  <c r="BL117" i="1" s="1"/>
  <c r="BL101" i="1" a="1"/>
  <c r="BL101" i="1" s="1"/>
  <c r="BL85" i="1" a="1"/>
  <c r="BL85" i="1" s="1"/>
  <c r="BL69" i="1" a="1"/>
  <c r="BL69" i="1" s="1"/>
  <c r="BL53" i="1" a="1"/>
  <c r="BL53" i="1" s="1"/>
  <c r="BL37" i="1" a="1"/>
  <c r="BL37" i="1" s="1"/>
  <c r="BL21" i="1" a="1"/>
  <c r="BL21" i="1" s="1"/>
  <c r="BL5" i="1" a="1"/>
  <c r="BL5" i="1" s="1"/>
  <c r="BN8" i="1" a="1"/>
  <c r="BN8" i="1" s="1"/>
  <c r="BN16" i="1" a="1"/>
  <c r="BN16" i="1" s="1"/>
  <c r="BN24" i="1" a="1"/>
  <c r="BN24" i="1" s="1"/>
  <c r="BN32" i="1" a="1"/>
  <c r="BN32" i="1" s="1"/>
  <c r="BN40" i="1" a="1"/>
  <c r="BN40" i="1" s="1"/>
  <c r="BN48" i="1" a="1"/>
  <c r="BN48" i="1" s="1"/>
  <c r="BN56" i="1" a="1"/>
  <c r="BN56" i="1" s="1"/>
  <c r="BN64" i="1" a="1"/>
  <c r="BN64" i="1" s="1"/>
  <c r="BN72" i="1" a="1"/>
  <c r="BN72" i="1" s="1"/>
  <c r="BN80" i="1" a="1"/>
  <c r="BN80" i="1" s="1"/>
  <c r="BN88" i="1" a="1"/>
  <c r="BN88" i="1" s="1"/>
  <c r="BN96" i="1" a="1"/>
  <c r="BN96" i="1" s="1"/>
  <c r="BN104" i="1" a="1"/>
  <c r="BN104" i="1" s="1"/>
  <c r="BN112" i="1" a="1"/>
  <c r="BN112" i="1" s="1"/>
  <c r="BN120" i="1" a="1"/>
  <c r="BN120" i="1" s="1"/>
  <c r="BN128" i="1" a="1"/>
  <c r="BN128" i="1" s="1"/>
  <c r="BN136" i="1" a="1"/>
  <c r="BN136" i="1" s="1"/>
  <c r="BN144" i="1" a="1"/>
  <c r="BN144" i="1" s="1"/>
  <c r="BM3" i="1" a="1"/>
  <c r="BM3" i="1" s="1"/>
  <c r="BM11" i="1" a="1"/>
  <c r="BM11" i="1" s="1"/>
  <c r="BM19" i="1" a="1"/>
  <c r="BM19" i="1" s="1"/>
  <c r="BM27" i="1" a="1"/>
  <c r="BM27" i="1" s="1"/>
  <c r="BM35" i="1" a="1"/>
  <c r="BM35" i="1" s="1"/>
  <c r="BM43" i="1" a="1"/>
  <c r="BM43" i="1" s="1"/>
  <c r="BM51" i="1" a="1"/>
  <c r="BM51" i="1" s="1"/>
  <c r="BM59" i="1" a="1"/>
  <c r="BM59" i="1" s="1"/>
  <c r="BM67" i="1" a="1"/>
  <c r="BM67" i="1" s="1"/>
  <c r="BM75" i="1" a="1"/>
  <c r="BM75" i="1" s="1"/>
  <c r="BM83" i="1" a="1"/>
  <c r="BM83" i="1" s="1"/>
  <c r="BM91" i="1" a="1"/>
  <c r="BM91" i="1" s="1"/>
  <c r="BM99" i="1" a="1"/>
  <c r="BM99" i="1" s="1"/>
  <c r="BM107" i="1" a="1"/>
  <c r="BM107" i="1" s="1"/>
  <c r="BM115" i="1" a="1"/>
  <c r="BM115" i="1" s="1"/>
  <c r="BM123" i="1" a="1"/>
  <c r="BM123" i="1" s="1"/>
  <c r="BM131" i="1" a="1"/>
  <c r="BM131" i="1" s="1"/>
  <c r="BM139" i="1" a="1"/>
  <c r="BM139" i="1" s="1"/>
  <c r="BM147" i="1" a="1"/>
  <c r="BM147" i="1" s="1"/>
  <c r="BL143" i="1" a="1"/>
  <c r="BL143" i="1" s="1"/>
  <c r="BL138" i="1" a="1"/>
  <c r="BL138" i="1" s="1"/>
  <c r="BL132" i="1" a="1"/>
  <c r="BL132" i="1" s="1"/>
  <c r="BL127" i="1" a="1"/>
  <c r="BL127" i="1" s="1"/>
  <c r="BL122" i="1" a="1"/>
  <c r="BL122" i="1" s="1"/>
  <c r="BL116" i="1" a="1"/>
  <c r="BL116" i="1" s="1"/>
  <c r="BL111" i="1" a="1"/>
  <c r="BL111" i="1" s="1"/>
  <c r="BL106" i="1" a="1"/>
  <c r="BL106" i="1" s="1"/>
  <c r="BL100" i="1" a="1"/>
  <c r="BL100" i="1" s="1"/>
  <c r="BL95" i="1" a="1"/>
  <c r="BL95" i="1" s="1"/>
  <c r="BL90" i="1" a="1"/>
  <c r="BL90" i="1" s="1"/>
  <c r="BL84" i="1" a="1"/>
  <c r="BL84" i="1" s="1"/>
  <c r="BL79" i="1" a="1"/>
  <c r="BL79" i="1" s="1"/>
  <c r="BL74" i="1" a="1"/>
  <c r="BL74" i="1" s="1"/>
  <c r="BL68" i="1" a="1"/>
  <c r="BL68" i="1" s="1"/>
  <c r="BL63" i="1" a="1"/>
  <c r="BL63" i="1" s="1"/>
  <c r="BL58" i="1" a="1"/>
  <c r="BL58" i="1" s="1"/>
  <c r="BL52" i="1" a="1"/>
  <c r="BL52" i="1" s="1"/>
  <c r="BL47" i="1" a="1"/>
  <c r="BL47" i="1" s="1"/>
  <c r="BL42" i="1" a="1"/>
  <c r="BL42" i="1" s="1"/>
  <c r="BL36" i="1" a="1"/>
  <c r="BL36" i="1" s="1"/>
  <c r="BL31" i="1" a="1"/>
  <c r="BL31" i="1" s="1"/>
  <c r="BL26" i="1" a="1"/>
  <c r="BL26" i="1" s="1"/>
  <c r="BL20" i="1" a="1"/>
  <c r="BL20" i="1" s="1"/>
  <c r="BL15" i="1" a="1"/>
  <c r="BL15" i="1" s="1"/>
  <c r="BL10" i="1" a="1"/>
  <c r="BL10" i="1" s="1"/>
  <c r="BL4" i="1" a="1"/>
  <c r="BL4" i="1" s="1"/>
  <c r="BN9" i="1" a="1"/>
  <c r="BN9" i="1" s="1"/>
  <c r="BN17" i="1" a="1"/>
  <c r="BN17" i="1" s="1"/>
  <c r="BN25" i="1" a="1"/>
  <c r="BN25" i="1" s="1"/>
  <c r="BN33" i="1" a="1"/>
  <c r="BN33" i="1" s="1"/>
  <c r="BN41" i="1" a="1"/>
  <c r="BN41" i="1" s="1"/>
  <c r="BN49" i="1" a="1"/>
  <c r="BN49" i="1" s="1"/>
  <c r="BN57" i="1" a="1"/>
  <c r="BN57" i="1" s="1"/>
  <c r="BN65" i="1" a="1"/>
  <c r="BN65" i="1" s="1"/>
  <c r="BN73" i="1" a="1"/>
  <c r="BN73" i="1" s="1"/>
  <c r="BN81" i="1" a="1"/>
  <c r="BN81" i="1" s="1"/>
  <c r="BN89" i="1" a="1"/>
  <c r="BN89" i="1" s="1"/>
  <c r="BN97" i="1" a="1"/>
  <c r="BN97" i="1" s="1"/>
  <c r="BN105" i="1" a="1"/>
  <c r="BN105" i="1" s="1"/>
  <c r="BN113" i="1" a="1"/>
  <c r="BN113" i="1" s="1"/>
  <c r="BN121" i="1" a="1"/>
  <c r="BN121" i="1" s="1"/>
  <c r="BN129" i="1" a="1"/>
  <c r="BN129" i="1" s="1"/>
  <c r="BN137" i="1" a="1"/>
  <c r="BN137" i="1" s="1"/>
  <c r="BN145" i="1" a="1"/>
  <c r="BN145" i="1" s="1"/>
  <c r="BM4" i="1" a="1"/>
  <c r="BM4" i="1" s="1"/>
  <c r="BM12" i="1" a="1"/>
  <c r="BM12" i="1" s="1"/>
  <c r="BM20" i="1" a="1"/>
  <c r="BM20" i="1" s="1"/>
  <c r="BM28" i="1" a="1"/>
  <c r="BM28" i="1" s="1"/>
  <c r="BM36" i="1" a="1"/>
  <c r="BM36" i="1" s="1"/>
  <c r="BM44" i="1" a="1"/>
  <c r="BM44" i="1" s="1"/>
  <c r="BM52" i="1" a="1"/>
  <c r="BM52" i="1" s="1"/>
  <c r="BM60" i="1" a="1"/>
  <c r="BM60" i="1" s="1"/>
  <c r="BM68" i="1" a="1"/>
  <c r="BM68" i="1" s="1"/>
  <c r="BM76" i="1" a="1"/>
  <c r="BM76" i="1" s="1"/>
  <c r="BM84" i="1" a="1"/>
  <c r="BM84" i="1" s="1"/>
  <c r="BM92" i="1" a="1"/>
  <c r="BM92" i="1" s="1"/>
  <c r="BM100" i="1" a="1"/>
  <c r="BM100" i="1" s="1"/>
  <c r="BM108" i="1" a="1"/>
  <c r="BM108" i="1" s="1"/>
  <c r="BM116" i="1" a="1"/>
  <c r="BM116" i="1" s="1"/>
  <c r="BM124" i="1" a="1"/>
  <c r="BM124" i="1" s="1"/>
  <c r="BM132" i="1" a="1"/>
  <c r="BM132" i="1" s="1"/>
  <c r="BM140" i="1" a="1"/>
  <c r="BM140" i="1" s="1"/>
  <c r="BL137" i="1" a="1"/>
  <c r="BL137" i="1" s="1"/>
  <c r="BL121" i="1" a="1"/>
  <c r="BL121" i="1" s="1"/>
  <c r="BL105" i="1" a="1"/>
  <c r="BL105" i="1" s="1"/>
  <c r="BL89" i="1" a="1"/>
  <c r="BL89" i="1" s="1"/>
  <c r="BL73" i="1" a="1"/>
  <c r="BL73" i="1" s="1"/>
  <c r="BL57" i="1" a="1"/>
  <c r="BL57" i="1" s="1"/>
  <c r="BL41" i="1" a="1"/>
  <c r="BL41" i="1" s="1"/>
  <c r="BL25" i="1" a="1"/>
  <c r="BL25" i="1" s="1"/>
  <c r="BL9" i="1" a="1"/>
  <c r="BL9" i="1" s="1"/>
  <c r="BN10" i="1" a="1"/>
  <c r="BN10" i="1" s="1"/>
  <c r="BN18" i="1" a="1"/>
  <c r="BN18" i="1" s="1"/>
  <c r="BN26" i="1" a="1"/>
  <c r="BN26" i="1" s="1"/>
  <c r="BN34" i="1" a="1"/>
  <c r="BN34" i="1" s="1"/>
  <c r="BN42" i="1" a="1"/>
  <c r="BN42" i="1" s="1"/>
  <c r="BN50" i="1" a="1"/>
  <c r="BN50" i="1" s="1"/>
  <c r="BN58" i="1" a="1"/>
  <c r="BN58" i="1" s="1"/>
  <c r="BN66" i="1" a="1"/>
  <c r="BN66" i="1" s="1"/>
  <c r="BN74" i="1" a="1"/>
  <c r="BN74" i="1" s="1"/>
  <c r="BN82" i="1" a="1"/>
  <c r="BN82" i="1" s="1"/>
  <c r="BN90" i="1" a="1"/>
  <c r="BN90" i="1" s="1"/>
  <c r="BN98" i="1" a="1"/>
  <c r="BN98" i="1" s="1"/>
  <c r="BN106" i="1" a="1"/>
  <c r="BN106" i="1" s="1"/>
  <c r="BN114" i="1" a="1"/>
  <c r="BN114" i="1" s="1"/>
  <c r="BN122" i="1" a="1"/>
  <c r="BN122" i="1" s="1"/>
  <c r="BN130" i="1" a="1"/>
  <c r="BN130" i="1" s="1"/>
  <c r="BN138" i="1" a="1"/>
  <c r="BN138" i="1" s="1"/>
  <c r="BN146" i="1" a="1"/>
  <c r="BN146" i="1" s="1"/>
  <c r="BM5" i="1" a="1"/>
  <c r="BM5" i="1" s="1"/>
  <c r="BM13" i="1" a="1"/>
  <c r="BM13" i="1" s="1"/>
  <c r="BM21" i="1" a="1"/>
  <c r="BM21" i="1" s="1"/>
  <c r="BM29" i="1" a="1"/>
  <c r="BM29" i="1" s="1"/>
  <c r="BM37" i="1" a="1"/>
  <c r="BM37" i="1" s="1"/>
  <c r="BM45" i="1" a="1"/>
  <c r="BM45" i="1" s="1"/>
  <c r="BM53" i="1" a="1"/>
  <c r="BM53" i="1" s="1"/>
  <c r="BM61" i="1" a="1"/>
  <c r="BM61" i="1" s="1"/>
  <c r="BM69" i="1" a="1"/>
  <c r="BM69" i="1" s="1"/>
  <c r="BM77" i="1" a="1"/>
  <c r="BM77" i="1" s="1"/>
  <c r="BM85" i="1" a="1"/>
  <c r="BM85" i="1" s="1"/>
  <c r="BM93" i="1" a="1"/>
  <c r="BM93" i="1" s="1"/>
  <c r="BM101" i="1" a="1"/>
  <c r="BM101" i="1" s="1"/>
  <c r="BM109" i="1" a="1"/>
  <c r="BM109" i="1" s="1"/>
  <c r="BM117" i="1" a="1"/>
  <c r="BM117" i="1" s="1"/>
  <c r="BM125" i="1" a="1"/>
  <c r="BM125" i="1" s="1"/>
  <c r="BM133" i="1" a="1"/>
  <c r="BM133" i="1" s="1"/>
  <c r="BM141" i="1" a="1"/>
  <c r="BM141" i="1" s="1"/>
  <c r="BL147" i="1" a="1"/>
  <c r="BL147" i="1" s="1"/>
  <c r="BL142" i="1" a="1"/>
  <c r="BL142" i="1" s="1"/>
  <c r="BL136" i="1" a="1"/>
  <c r="BL136" i="1" s="1"/>
  <c r="BL131" i="1" a="1"/>
  <c r="BL131" i="1" s="1"/>
  <c r="BL126" i="1" a="1"/>
  <c r="BL126" i="1" s="1"/>
  <c r="BL120" i="1" a="1"/>
  <c r="BL120" i="1" s="1"/>
  <c r="BL115" i="1" a="1"/>
  <c r="BL115" i="1" s="1"/>
  <c r="BL110" i="1" a="1"/>
  <c r="BL110" i="1" s="1"/>
  <c r="BL104" i="1" a="1"/>
  <c r="BL104" i="1" s="1"/>
  <c r="BL99" i="1" a="1"/>
  <c r="BL99" i="1" s="1"/>
  <c r="BL94" i="1" a="1"/>
  <c r="BL94" i="1" s="1"/>
  <c r="BL88" i="1" a="1"/>
  <c r="BL88" i="1" s="1"/>
  <c r="BL83" i="1" a="1"/>
  <c r="BL83" i="1" s="1"/>
  <c r="BL78" i="1" a="1"/>
  <c r="BL78" i="1" s="1"/>
  <c r="BL72" i="1" a="1"/>
  <c r="BL72" i="1" s="1"/>
  <c r="BL67" i="1" a="1"/>
  <c r="BL67" i="1" s="1"/>
  <c r="BL62" i="1" a="1"/>
  <c r="BL62" i="1" s="1"/>
  <c r="BL56" i="1" a="1"/>
  <c r="BL56" i="1" s="1"/>
  <c r="BL51" i="1" a="1"/>
  <c r="BL51" i="1" s="1"/>
  <c r="BL46" i="1" a="1"/>
  <c r="BL46" i="1" s="1"/>
  <c r="BL40" i="1" a="1"/>
  <c r="BL40" i="1" s="1"/>
  <c r="BL35" i="1" a="1"/>
  <c r="BL35" i="1" s="1"/>
  <c r="BL30" i="1" a="1"/>
  <c r="BL30" i="1" s="1"/>
  <c r="BL24" i="1" a="1"/>
  <c r="BL24" i="1" s="1"/>
  <c r="BL19" i="1" a="1"/>
  <c r="BL19" i="1" s="1"/>
  <c r="BL14" i="1" a="1"/>
  <c r="BL14" i="1" s="1"/>
  <c r="BL8" i="1" a="1"/>
  <c r="BL8" i="1" s="1"/>
  <c r="BN3" i="1" a="1"/>
  <c r="BN3" i="1" s="1"/>
  <c r="BN11" i="1" a="1"/>
  <c r="BN11" i="1" s="1"/>
  <c r="BN19" i="1" a="1"/>
  <c r="BN19" i="1" s="1"/>
  <c r="BN27" i="1" a="1"/>
  <c r="BN27" i="1" s="1"/>
  <c r="BN35" i="1" a="1"/>
  <c r="BN35" i="1" s="1"/>
  <c r="BN43" i="1" a="1"/>
  <c r="BN43" i="1" s="1"/>
  <c r="BN51" i="1" a="1"/>
  <c r="BN51" i="1" s="1"/>
  <c r="BN59" i="1" a="1"/>
  <c r="BN59" i="1" s="1"/>
  <c r="BN67" i="1" a="1"/>
  <c r="BN67" i="1" s="1"/>
  <c r="BN75" i="1" a="1"/>
  <c r="BN75" i="1" s="1"/>
  <c r="BN83" i="1" a="1"/>
  <c r="BN83" i="1" s="1"/>
  <c r="BN91" i="1" a="1"/>
  <c r="BN91" i="1" s="1"/>
  <c r="BN99" i="1" a="1"/>
  <c r="BN99" i="1" s="1"/>
  <c r="BN107" i="1" a="1"/>
  <c r="BN107" i="1" s="1"/>
  <c r="BN115" i="1" a="1"/>
  <c r="BN115" i="1" s="1"/>
  <c r="BN123" i="1" a="1"/>
  <c r="BN123" i="1" s="1"/>
  <c r="BN131" i="1" a="1"/>
  <c r="BN131" i="1" s="1"/>
  <c r="BN139" i="1" a="1"/>
  <c r="BN13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<sst xmlns="http://schemas.openxmlformats.org/spreadsheetml/2006/main" count="256" uniqueCount="84">
  <si>
    <t>Crop</t>
  </si>
  <si>
    <t>Production</t>
  </si>
  <si>
    <t>Year</t>
  </si>
  <si>
    <t>Dakar_VHI</t>
  </si>
  <si>
    <t>Diourbel_VHI</t>
  </si>
  <si>
    <t>Fatick_VHI</t>
  </si>
  <si>
    <t>Kaffrine_VHI</t>
  </si>
  <si>
    <t>Kaolack_VHI</t>
  </si>
  <si>
    <t>Kedougou_VHI</t>
  </si>
  <si>
    <t>Kolda_VHI</t>
  </si>
  <si>
    <t>Louga_VHI</t>
  </si>
  <si>
    <t>Matam_VHI</t>
  </si>
  <si>
    <t>Saint louis_VHI</t>
  </si>
  <si>
    <t>Sedhiou_VHI</t>
  </si>
  <si>
    <t>Tambacounda_VHI</t>
  </si>
  <si>
    <t>Thies_VHI</t>
  </si>
  <si>
    <t>Ziguinchor_VHI</t>
  </si>
  <si>
    <t>Corn_Weighted_VHI</t>
  </si>
  <si>
    <t>Cotton_Weighted_VHI</t>
  </si>
  <si>
    <t>Millet_Weighted_VHI</t>
  </si>
  <si>
    <t>Peanut_Weighted_VHI</t>
  </si>
  <si>
    <t>Rice_Weighted_VHI</t>
  </si>
  <si>
    <t>Sorghum_Weighted_VHI</t>
  </si>
  <si>
    <t>Dakar_VHI_Cumulative</t>
  </si>
  <si>
    <t>Diourbel_VHI_Cumulative</t>
  </si>
  <si>
    <t>Fatick_VHI_Cumulative</t>
  </si>
  <si>
    <t>Kaffrine_VHI_Cumulative</t>
  </si>
  <si>
    <t>Kaolack_VHI_Cumulative</t>
  </si>
  <si>
    <t>Kedougou_VHI_Cumulative</t>
  </si>
  <si>
    <t>Kolda_VHI_Cumulative</t>
  </si>
  <si>
    <t>Louga_VHI_Cumulative</t>
  </si>
  <si>
    <t>Matam_VHI_Cumulative</t>
  </si>
  <si>
    <t>Saint louis_VHI_Cumulative</t>
  </si>
  <si>
    <t>Sedhiou_VHI_Cumulative</t>
  </si>
  <si>
    <t>Tambacounda_VHI_Cumulative</t>
  </si>
  <si>
    <t>Thies_VHI_Cumulative</t>
  </si>
  <si>
    <t>Ziguinchor_VHI_Cumulative</t>
  </si>
  <si>
    <t>Corn_Weighted_VHI_Cumulative</t>
  </si>
  <si>
    <t>Cotton_Weighted_VHI_Cumulative</t>
  </si>
  <si>
    <t>Millet_Weighted_VHI_Cumulative</t>
  </si>
  <si>
    <t>Peanut_Weighted_VHI_Cumulative</t>
  </si>
  <si>
    <t>Rice_Weighted_VHI_Cumulative</t>
  </si>
  <si>
    <t>Sorghum_Weighted_VHI_Cumulative</t>
  </si>
  <si>
    <t>Dakar_Rainfall</t>
  </si>
  <si>
    <t>Diourbel_Rainfall</t>
  </si>
  <si>
    <t>Fatick_Rainfall</t>
  </si>
  <si>
    <t>Kaffrine_Rainfall</t>
  </si>
  <si>
    <t>Kaolack_Rainfall</t>
  </si>
  <si>
    <t>Kedougou_Rainfall</t>
  </si>
  <si>
    <t>Kolda_Rainfall</t>
  </si>
  <si>
    <t>Louga_Rainfall</t>
  </si>
  <si>
    <t>Matam_Rainfall</t>
  </si>
  <si>
    <t>Saint louis_Rainfall</t>
  </si>
  <si>
    <t>Sedhiou_Rainfall</t>
  </si>
  <si>
    <t>Tambacounda_Rainfall</t>
  </si>
  <si>
    <t>Thies_Rainfall</t>
  </si>
  <si>
    <t>Ziguinchor_Rainfall</t>
  </si>
  <si>
    <t>Corn_Weighted_Rainfall</t>
  </si>
  <si>
    <t>Cotton_Weighted_Rainfall</t>
  </si>
  <si>
    <t>Millet_Weighted_Rainfall</t>
  </si>
  <si>
    <t>Peanut_Weighted_Rainfall</t>
  </si>
  <si>
    <t>Rice_Weighted_Rainfall</t>
  </si>
  <si>
    <t>Sorghum_Weighted_Rainfall</t>
  </si>
  <si>
    <t>Peanut</t>
  </si>
  <si>
    <t>Corn</t>
  </si>
  <si>
    <t>Millet</t>
  </si>
  <si>
    <t>Rice</t>
  </si>
  <si>
    <t>Sorghum</t>
  </si>
  <si>
    <t>VHI</t>
  </si>
  <si>
    <t>Cum_VHI</t>
  </si>
  <si>
    <t>Cum_Rainfall</t>
  </si>
  <si>
    <t>Sum of Cum_Rainfall</t>
  </si>
  <si>
    <t>Sum of Cum_VHI</t>
  </si>
  <si>
    <t>Sum of VHI</t>
  </si>
  <si>
    <t>Row Labels</t>
  </si>
  <si>
    <t>Sum of Production</t>
  </si>
  <si>
    <t>CumulativeVHI</t>
  </si>
  <si>
    <t>Cumulative_Rainfall</t>
  </si>
  <si>
    <t>Lag1Y</t>
  </si>
  <si>
    <t>Lag1Y_RF</t>
  </si>
  <si>
    <t>Differenced_RF</t>
  </si>
  <si>
    <t>DifferencedProd</t>
  </si>
  <si>
    <t>Lag1Y_VHI</t>
  </si>
  <si>
    <t>Differenced_VHI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</si>
</sst>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Fill="1"/>
    <xf numFmtId="0" fontId="16" fillId="34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/>
    <xf numFmtId="0" fontId="18" fillId="0" borderId="12" xfId="0" applyFont="1" applyBorder="1" applyAlignment="1">
      <alignment horizontal="center"/>
    </xf>
    <xf numFmtId="9" fontId="0" fillId="0" borderId="0" xfId="1" applyFont="1" applyFill="1" applyBorder="1" applyAlignment="1"/>
    <xf numFmtId="9" fontId="0" fillId="0" borderId="11" xfId="1" applyFont="1" applyFill="1" applyBorder="1" applyAlignment="1"/>
    <xf numFmtId="9" fontId="0" fillId="0" borderId="0" xfId="1" applyFont="1"/>
    <xf numFmtId="2" fontId="0" fillId="0" borderId="0" xfId="0" applyNumberFormat="1"/>
    <xf numFmtId="1" fontId="0" fillId="0" borderId="0" xfId="0" applyNumberFormat="1"/>
    <xf numFmtId="1" fontId="0" fillId="35" borderId="0" xfId="0" applyNumberFormat="1" applyFill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Differencing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084399471912"/>
          <c:y val="0.1402946593001842"/>
          <c:w val="0.87388501614796787"/>
          <c:h val="0.73861834950189242"/>
        </c:manualLayout>
      </c:layout>
      <c:barChart>
        <c:barDir val="col"/>
        <c:grouping val="clustered"/>
        <c:varyColors val="0"/>
        <c:ser>
          <c:idx val="4"/>
          <c:order val="4"/>
          <c:tx>
            <c:strRef>
              <c:f>Rice_Data!$E$1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Rice_Data!$A$2:$A$30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Rice_Data!$E$2:$E$30</c:f>
              <c:numCache>
                <c:formatCode>0</c:formatCode>
                <c:ptCount val="29"/>
                <c:pt idx="0">
                  <c:v>155152</c:v>
                </c:pt>
                <c:pt idx="1">
                  <c:v>148780</c:v>
                </c:pt>
                <c:pt idx="2">
                  <c:v>173702</c:v>
                </c:pt>
                <c:pt idx="3">
                  <c:v>123519</c:v>
                </c:pt>
                <c:pt idx="4">
                  <c:v>364000</c:v>
                </c:pt>
                <c:pt idx="5">
                  <c:v>202293</c:v>
                </c:pt>
                <c:pt idx="6">
                  <c:v>206989</c:v>
                </c:pt>
                <c:pt idx="7">
                  <c:v>172395</c:v>
                </c:pt>
                <c:pt idx="8">
                  <c:v>231805</c:v>
                </c:pt>
                <c:pt idx="9">
                  <c:v>201744</c:v>
                </c:pt>
                <c:pt idx="10">
                  <c:v>279080</c:v>
                </c:pt>
                <c:pt idx="11">
                  <c:v>190493</c:v>
                </c:pt>
                <c:pt idx="12">
                  <c:v>193379</c:v>
                </c:pt>
                <c:pt idx="13">
                  <c:v>408219</c:v>
                </c:pt>
                <c:pt idx="14">
                  <c:v>502104</c:v>
                </c:pt>
                <c:pt idx="15">
                  <c:v>604043.30000000005</c:v>
                </c:pt>
                <c:pt idx="16">
                  <c:v>405824</c:v>
                </c:pt>
                <c:pt idx="17">
                  <c:v>469649</c:v>
                </c:pt>
                <c:pt idx="18">
                  <c:v>436153</c:v>
                </c:pt>
                <c:pt idx="19">
                  <c:v>559021</c:v>
                </c:pt>
                <c:pt idx="20">
                  <c:v>906348</c:v>
                </c:pt>
                <c:pt idx="21">
                  <c:v>950779</c:v>
                </c:pt>
                <c:pt idx="22">
                  <c:v>1011269</c:v>
                </c:pt>
                <c:pt idx="23">
                  <c:v>1206587.27</c:v>
                </c:pt>
                <c:pt idx="24">
                  <c:v>1155730.28</c:v>
                </c:pt>
                <c:pt idx="25">
                  <c:v>1349723.01</c:v>
                </c:pt>
                <c:pt idx="26">
                  <c:v>1382119.93</c:v>
                </c:pt>
                <c:pt idx="27">
                  <c:v>1409120</c:v>
                </c:pt>
                <c:pt idx="28">
                  <c:v>1521000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E2-4F1F-8962-21F7817C9139}"/>
            </c:ext>
          </c:extLst>
        </c:ser>
        <c:ser>
          <c:idx val="5"/>
          <c:order val="5"/>
          <c:tx>
            <c:strRef>
              <c:f>Rice_Data!$J$1</c:f>
              <c:strCache>
                <c:ptCount val="1"/>
                <c:pt idx="0">
                  <c:v>Lag1Y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Rice_Data!$A$2:$A$30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Rice_Data!$J$2:$J$30</c:f>
              <c:numCache>
                <c:formatCode>0</c:formatCode>
                <c:ptCount val="29"/>
                <c:pt idx="1">
                  <c:v>155152</c:v>
                </c:pt>
                <c:pt idx="2">
                  <c:v>148780</c:v>
                </c:pt>
                <c:pt idx="3">
                  <c:v>173702</c:v>
                </c:pt>
                <c:pt idx="4">
                  <c:v>123519</c:v>
                </c:pt>
                <c:pt idx="5">
                  <c:v>364000</c:v>
                </c:pt>
                <c:pt idx="6">
                  <c:v>202293</c:v>
                </c:pt>
                <c:pt idx="7">
                  <c:v>206989</c:v>
                </c:pt>
                <c:pt idx="8">
                  <c:v>172395</c:v>
                </c:pt>
                <c:pt idx="9">
                  <c:v>231805</c:v>
                </c:pt>
                <c:pt idx="10">
                  <c:v>201744</c:v>
                </c:pt>
                <c:pt idx="11">
                  <c:v>279080</c:v>
                </c:pt>
                <c:pt idx="12">
                  <c:v>190493</c:v>
                </c:pt>
                <c:pt idx="13">
                  <c:v>193379</c:v>
                </c:pt>
                <c:pt idx="14">
                  <c:v>408219</c:v>
                </c:pt>
                <c:pt idx="15">
                  <c:v>502104</c:v>
                </c:pt>
                <c:pt idx="16">
                  <c:v>604043.30000000005</c:v>
                </c:pt>
                <c:pt idx="17">
                  <c:v>405824</c:v>
                </c:pt>
                <c:pt idx="18">
                  <c:v>469649</c:v>
                </c:pt>
                <c:pt idx="19">
                  <c:v>436153</c:v>
                </c:pt>
                <c:pt idx="20">
                  <c:v>559021</c:v>
                </c:pt>
                <c:pt idx="21">
                  <c:v>906348</c:v>
                </c:pt>
                <c:pt idx="22">
                  <c:v>950779</c:v>
                </c:pt>
                <c:pt idx="23">
                  <c:v>1011269</c:v>
                </c:pt>
                <c:pt idx="24">
                  <c:v>1206587.27</c:v>
                </c:pt>
                <c:pt idx="25">
                  <c:v>1155730.28</c:v>
                </c:pt>
                <c:pt idx="26">
                  <c:v>1349723.01</c:v>
                </c:pt>
                <c:pt idx="27">
                  <c:v>1382119.93</c:v>
                </c:pt>
                <c:pt idx="28">
                  <c:v>1409120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E2-4F1F-8962-21F7817C9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3759568"/>
        <c:axId val="5337696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Rice_Data!$A$1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CE2-4F1F-8962-21F7817C913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Rice_Data!$B$1</c15:sqref>
                        </c15:formulaRef>
                      </c:ext>
                    </c:extLst>
                    <c:strCache>
                      <c:ptCount val="1"/>
                      <c:pt idx="0">
                        <c:v>VHI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Rice_Data!$B$2:$B$30</c15:sqref>
                        </c15:formulaRef>
                      </c:ext>
                    </c:extLst>
                    <c:numCache>
                      <c:formatCode>0.00</c:formatCode>
                      <c:ptCount val="29"/>
                      <c:pt idx="0">
                        <c:v>0.72702999999999995</c:v>
                      </c:pt>
                      <c:pt idx="1">
                        <c:v>0.61934500000000003</c:v>
                      </c:pt>
                      <c:pt idx="2">
                        <c:v>0.57016166666666601</c:v>
                      </c:pt>
                      <c:pt idx="3">
                        <c:v>0.71102999999999905</c:v>
                      </c:pt>
                      <c:pt idx="4">
                        <c:v>0.86521333333333295</c:v>
                      </c:pt>
                      <c:pt idx="5">
                        <c:v>0.549688333333333</c:v>
                      </c:pt>
                      <c:pt idx="6">
                        <c:v>0.60327166666666598</c:v>
                      </c:pt>
                      <c:pt idx="7">
                        <c:v>0.31985333333333299</c:v>
                      </c:pt>
                      <c:pt idx="8">
                        <c:v>0.52756666666666596</c:v>
                      </c:pt>
                      <c:pt idx="9">
                        <c:v>0.55339333333333296</c:v>
                      </c:pt>
                      <c:pt idx="10">
                        <c:v>0.65963333333333296</c:v>
                      </c:pt>
                      <c:pt idx="11">
                        <c:v>0.54903166666666603</c:v>
                      </c:pt>
                      <c:pt idx="12">
                        <c:v>0.45209666666666598</c:v>
                      </c:pt>
                      <c:pt idx="13">
                        <c:v>0.86824666666666594</c:v>
                      </c:pt>
                      <c:pt idx="14">
                        <c:v>0.74516000000000004</c:v>
                      </c:pt>
                      <c:pt idx="15">
                        <c:v>0.81715833333333299</c:v>
                      </c:pt>
                      <c:pt idx="16">
                        <c:v>0.64337333333333302</c:v>
                      </c:pt>
                      <c:pt idx="17">
                        <c:v>0.685771666666666</c:v>
                      </c:pt>
                      <c:pt idx="18">
                        <c:v>0.706108333333333</c:v>
                      </c:pt>
                      <c:pt idx="19">
                        <c:v>0.60194999999999999</c:v>
                      </c:pt>
                      <c:pt idx="20">
                        <c:v>0.55791500000000005</c:v>
                      </c:pt>
                      <c:pt idx="21">
                        <c:v>0.69301500000000005</c:v>
                      </c:pt>
                      <c:pt idx="22">
                        <c:v>0.77094333333333298</c:v>
                      </c:pt>
                      <c:pt idx="23">
                        <c:v>0.69455500000000003</c:v>
                      </c:pt>
                      <c:pt idx="24">
                        <c:v>0.52908166666666601</c:v>
                      </c:pt>
                      <c:pt idx="25">
                        <c:v>0.79276499999999905</c:v>
                      </c:pt>
                      <c:pt idx="26">
                        <c:v>0.67874833333333295</c:v>
                      </c:pt>
                      <c:pt idx="27">
                        <c:v>0.8262775</c:v>
                      </c:pt>
                      <c:pt idx="28">
                        <c:v>0.81811333333333303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CE2-4F1F-8962-21F7817C913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Rice_Data!$C$1</c15:sqref>
                        </c15:formulaRef>
                      </c:ext>
                    </c:extLst>
                    <c:strCache>
                      <c:ptCount val="1"/>
                      <c:pt idx="0">
                        <c:v>CumulativeVHI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Rice_Data!$C$2:$C$30</c15:sqref>
                        </c15:formulaRef>
                      </c:ext>
                    </c:extLst>
                    <c:numCache>
                      <c:formatCode>0.00</c:formatCode>
                      <c:ptCount val="29"/>
                      <c:pt idx="0">
                        <c:v>13.329575</c:v>
                      </c:pt>
                      <c:pt idx="1">
                        <c:v>10.010425</c:v>
                      </c:pt>
                      <c:pt idx="2">
                        <c:v>12.548254999999999</c:v>
                      </c:pt>
                      <c:pt idx="3">
                        <c:v>11.591044999999999</c:v>
                      </c:pt>
                      <c:pt idx="4">
                        <c:v>15.369590000000001</c:v>
                      </c:pt>
                      <c:pt idx="5">
                        <c:v>14.331725</c:v>
                      </c:pt>
                      <c:pt idx="6">
                        <c:v>12.43591</c:v>
                      </c:pt>
                      <c:pt idx="7">
                        <c:v>9.8503349999999994</c:v>
                      </c:pt>
                      <c:pt idx="8">
                        <c:v>10.40757</c:v>
                      </c:pt>
                      <c:pt idx="9">
                        <c:v>13.998585</c:v>
                      </c:pt>
                      <c:pt idx="10">
                        <c:v>13.806765</c:v>
                      </c:pt>
                      <c:pt idx="11">
                        <c:v>13.695885000000001</c:v>
                      </c:pt>
                      <c:pt idx="12">
                        <c:v>10.02717</c:v>
                      </c:pt>
                      <c:pt idx="13">
                        <c:v>14.17343</c:v>
                      </c:pt>
                      <c:pt idx="14">
                        <c:v>15.52603</c:v>
                      </c:pt>
                      <c:pt idx="15">
                        <c:v>15.110514999999999</c:v>
                      </c:pt>
                      <c:pt idx="16">
                        <c:v>15.717644999999999</c:v>
                      </c:pt>
                      <c:pt idx="17">
                        <c:v>14.073815</c:v>
                      </c:pt>
                      <c:pt idx="18">
                        <c:v>15.195905</c:v>
                      </c:pt>
                      <c:pt idx="19">
                        <c:v>14.20538</c:v>
                      </c:pt>
                      <c:pt idx="20">
                        <c:v>12.80172</c:v>
                      </c:pt>
                      <c:pt idx="21">
                        <c:v>14.860655</c:v>
                      </c:pt>
                      <c:pt idx="22">
                        <c:v>15.365489999999999</c:v>
                      </c:pt>
                      <c:pt idx="23">
                        <c:v>14.143795000000001</c:v>
                      </c:pt>
                      <c:pt idx="24">
                        <c:v>13.472099999999999</c:v>
                      </c:pt>
                      <c:pt idx="25">
                        <c:v>13.30922</c:v>
                      </c:pt>
                      <c:pt idx="26">
                        <c:v>15.231705</c:v>
                      </c:pt>
                      <c:pt idx="27">
                        <c:v>16.7712</c:v>
                      </c:pt>
                      <c:pt idx="28">
                        <c:v>16.200980000000001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CE2-4F1F-8962-21F7817C913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Rice_Data!$D$1</c15:sqref>
                        </c15:formulaRef>
                      </c:ext>
                    </c:extLst>
                    <c:strCache>
                      <c:ptCount val="1"/>
                      <c:pt idx="0">
                        <c:v>Cumulative_Rainfall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Rice_Data!$D$2:$D$30</c15:sqref>
                        </c15:formulaRef>
                      </c:ext>
                    </c:extLst>
                    <c:numCache>
                      <c:formatCode>0.00</c:formatCode>
                      <c:ptCount val="29"/>
                      <c:pt idx="0">
                        <c:v>153.93096499999999</c:v>
                      </c:pt>
                      <c:pt idx="1">
                        <c:v>228.66630499999999</c:v>
                      </c:pt>
                      <c:pt idx="2">
                        <c:v>299.26623499999999</c:v>
                      </c:pt>
                      <c:pt idx="3">
                        <c:v>184.80901499999999</c:v>
                      </c:pt>
                      <c:pt idx="4">
                        <c:v>291.49660499999999</c:v>
                      </c:pt>
                      <c:pt idx="5">
                        <c:v>191.74173999999999</c:v>
                      </c:pt>
                      <c:pt idx="6">
                        <c:v>212.47529</c:v>
                      </c:pt>
                      <c:pt idx="7">
                        <c:v>154.54413499999899</c:v>
                      </c:pt>
                      <c:pt idx="8">
                        <c:v>219.70230000000001</c:v>
                      </c:pt>
                      <c:pt idx="9">
                        <c:v>277.65585499999997</c:v>
                      </c:pt>
                      <c:pt idx="10">
                        <c:v>371.26574499999998</c:v>
                      </c:pt>
                      <c:pt idx="11">
                        <c:v>256.05957000000001</c:v>
                      </c:pt>
                      <c:pt idx="12">
                        <c:v>181.593435</c:v>
                      </c:pt>
                      <c:pt idx="13">
                        <c:v>412.05978499999901</c:v>
                      </c:pt>
                      <c:pt idx="14">
                        <c:v>260.21795500000002</c:v>
                      </c:pt>
                      <c:pt idx="15">
                        <c:v>279.15816000000001</c:v>
                      </c:pt>
                      <c:pt idx="16">
                        <c:v>187.78010499999999</c:v>
                      </c:pt>
                      <c:pt idx="17">
                        <c:v>290.41948000000002</c:v>
                      </c:pt>
                      <c:pt idx="18">
                        <c:v>201.11938499999999</c:v>
                      </c:pt>
                      <c:pt idx="19">
                        <c:v>155.26899999999901</c:v>
                      </c:pt>
                      <c:pt idx="20">
                        <c:v>229.33441999999999</c:v>
                      </c:pt>
                      <c:pt idx="21">
                        <c:v>259.19231500000001</c:v>
                      </c:pt>
                      <c:pt idx="22">
                        <c:v>311.30731500000002</c:v>
                      </c:pt>
                      <c:pt idx="23">
                        <c:v>234.735345</c:v>
                      </c:pt>
                      <c:pt idx="24">
                        <c:v>163.57874000000001</c:v>
                      </c:pt>
                      <c:pt idx="25">
                        <c:v>423.99309</c:v>
                      </c:pt>
                      <c:pt idx="26">
                        <c:v>345.89476999999999</c:v>
                      </c:pt>
                      <c:pt idx="27">
                        <c:v>474.30213500000002</c:v>
                      </c:pt>
                      <c:pt idx="28">
                        <c:v>279.21334000000002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CE2-4F1F-8962-21F7817C913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Rice_Data!$K$1</c:f>
              <c:strCache>
                <c:ptCount val="1"/>
                <c:pt idx="0">
                  <c:v>DifferencedProd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Rice_Data!$K$2:$K$30</c:f>
              <c:numCache>
                <c:formatCode>0</c:formatCode>
                <c:ptCount val="29"/>
                <c:pt idx="1">
                  <c:v>-6372</c:v>
                </c:pt>
                <c:pt idx="2">
                  <c:v>24922</c:v>
                </c:pt>
                <c:pt idx="3">
                  <c:v>-50183</c:v>
                </c:pt>
                <c:pt idx="4">
                  <c:v>240481</c:v>
                </c:pt>
                <c:pt idx="5">
                  <c:v>-161707</c:v>
                </c:pt>
                <c:pt idx="6">
                  <c:v>4696</c:v>
                </c:pt>
                <c:pt idx="7">
                  <c:v>-34594</c:v>
                </c:pt>
                <c:pt idx="8">
                  <c:v>59410</c:v>
                </c:pt>
                <c:pt idx="9">
                  <c:v>-30061</c:v>
                </c:pt>
                <c:pt idx="10">
                  <c:v>77336</c:v>
                </c:pt>
                <c:pt idx="11">
                  <c:v>-88587</c:v>
                </c:pt>
                <c:pt idx="12">
                  <c:v>2886</c:v>
                </c:pt>
                <c:pt idx="13">
                  <c:v>214840</c:v>
                </c:pt>
                <c:pt idx="14">
                  <c:v>93885</c:v>
                </c:pt>
                <c:pt idx="15">
                  <c:v>101939.30000000005</c:v>
                </c:pt>
                <c:pt idx="16">
                  <c:v>-198219.30000000005</c:v>
                </c:pt>
                <c:pt idx="17">
                  <c:v>63825</c:v>
                </c:pt>
                <c:pt idx="18">
                  <c:v>-33496</c:v>
                </c:pt>
                <c:pt idx="19">
                  <c:v>122868</c:v>
                </c:pt>
                <c:pt idx="20">
                  <c:v>347327</c:v>
                </c:pt>
                <c:pt idx="21">
                  <c:v>44431</c:v>
                </c:pt>
                <c:pt idx="22">
                  <c:v>60490</c:v>
                </c:pt>
                <c:pt idx="23">
                  <c:v>195318.27000000002</c:v>
                </c:pt>
                <c:pt idx="24">
                  <c:v>-50856.989999999991</c:v>
                </c:pt>
                <c:pt idx="25">
                  <c:v>193992.72999999998</c:v>
                </c:pt>
                <c:pt idx="26">
                  <c:v>32396.919999999925</c:v>
                </c:pt>
                <c:pt idx="27">
                  <c:v>27000.070000000065</c:v>
                </c:pt>
                <c:pt idx="28">
                  <c:v>111880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E2-4F1F-8962-21F7817C9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759568"/>
        <c:axId val="533769648"/>
      </c:lineChart>
      <c:catAx>
        <c:axId val="53375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69648"/>
        <c:crosses val="autoZero"/>
        <c:auto val="1"/>
        <c:lblAlgn val="ctr"/>
        <c:lblOffset val="100"/>
        <c:noMultiLvlLbl val="0"/>
      </c:catAx>
      <c:valAx>
        <c:axId val="53376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5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Rainfall</a:t>
            </a:r>
            <a:r>
              <a:rPr lang="en-US" baseline="0"/>
              <a:t> vs. Differenced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084399471912"/>
          <c:y val="0.1402946593001842"/>
          <c:w val="0.87388501614796787"/>
          <c:h val="0.73861834950189242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3759568"/>
        <c:axId val="5337696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Rice_Data!$A$1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EB2-4734-BCC7-F10E7114B78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Rice_Data!$B$1</c15:sqref>
                        </c15:formulaRef>
                      </c:ext>
                    </c:extLst>
                    <c:strCache>
                      <c:ptCount val="1"/>
                      <c:pt idx="0">
                        <c:v>VHI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Rice_Data!$B$2:$B$30</c15:sqref>
                        </c15:formulaRef>
                      </c:ext>
                    </c:extLst>
                    <c:numCache>
                      <c:formatCode>0.00</c:formatCode>
                      <c:ptCount val="29"/>
                      <c:pt idx="0">
                        <c:v>0.72702999999999995</c:v>
                      </c:pt>
                      <c:pt idx="1">
                        <c:v>0.61934500000000003</c:v>
                      </c:pt>
                      <c:pt idx="2">
                        <c:v>0.57016166666666601</c:v>
                      </c:pt>
                      <c:pt idx="3">
                        <c:v>0.71102999999999905</c:v>
                      </c:pt>
                      <c:pt idx="4">
                        <c:v>0.86521333333333295</c:v>
                      </c:pt>
                      <c:pt idx="5">
                        <c:v>0.549688333333333</c:v>
                      </c:pt>
                      <c:pt idx="6">
                        <c:v>0.60327166666666598</c:v>
                      </c:pt>
                      <c:pt idx="7">
                        <c:v>0.31985333333333299</c:v>
                      </c:pt>
                      <c:pt idx="8">
                        <c:v>0.52756666666666596</c:v>
                      </c:pt>
                      <c:pt idx="9">
                        <c:v>0.55339333333333296</c:v>
                      </c:pt>
                      <c:pt idx="10">
                        <c:v>0.65963333333333296</c:v>
                      </c:pt>
                      <c:pt idx="11">
                        <c:v>0.54903166666666603</c:v>
                      </c:pt>
                      <c:pt idx="12">
                        <c:v>0.45209666666666598</c:v>
                      </c:pt>
                      <c:pt idx="13">
                        <c:v>0.86824666666666594</c:v>
                      </c:pt>
                      <c:pt idx="14">
                        <c:v>0.74516000000000004</c:v>
                      </c:pt>
                      <c:pt idx="15">
                        <c:v>0.81715833333333299</c:v>
                      </c:pt>
                      <c:pt idx="16">
                        <c:v>0.64337333333333302</c:v>
                      </c:pt>
                      <c:pt idx="17">
                        <c:v>0.685771666666666</c:v>
                      </c:pt>
                      <c:pt idx="18">
                        <c:v>0.706108333333333</c:v>
                      </c:pt>
                      <c:pt idx="19">
                        <c:v>0.60194999999999999</c:v>
                      </c:pt>
                      <c:pt idx="20">
                        <c:v>0.55791500000000005</c:v>
                      </c:pt>
                      <c:pt idx="21">
                        <c:v>0.69301500000000005</c:v>
                      </c:pt>
                      <c:pt idx="22">
                        <c:v>0.77094333333333298</c:v>
                      </c:pt>
                      <c:pt idx="23">
                        <c:v>0.69455500000000003</c:v>
                      </c:pt>
                      <c:pt idx="24">
                        <c:v>0.52908166666666601</c:v>
                      </c:pt>
                      <c:pt idx="25">
                        <c:v>0.79276499999999905</c:v>
                      </c:pt>
                      <c:pt idx="26">
                        <c:v>0.67874833333333295</c:v>
                      </c:pt>
                      <c:pt idx="27">
                        <c:v>0.8262775</c:v>
                      </c:pt>
                      <c:pt idx="28">
                        <c:v>0.81811333333333303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B2-4734-BCC7-F10E7114B78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Rice_Data!$C$1</c15:sqref>
                        </c15:formulaRef>
                      </c:ext>
                    </c:extLst>
                    <c:strCache>
                      <c:ptCount val="1"/>
                      <c:pt idx="0">
                        <c:v>CumulativeVHI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Rice_Data!$C$2:$C$30</c15:sqref>
                        </c15:formulaRef>
                      </c:ext>
                    </c:extLst>
                    <c:numCache>
                      <c:formatCode>0.00</c:formatCode>
                      <c:ptCount val="29"/>
                      <c:pt idx="0">
                        <c:v>13.329575</c:v>
                      </c:pt>
                      <c:pt idx="1">
                        <c:v>10.010425</c:v>
                      </c:pt>
                      <c:pt idx="2">
                        <c:v>12.548254999999999</c:v>
                      </c:pt>
                      <c:pt idx="3">
                        <c:v>11.591044999999999</c:v>
                      </c:pt>
                      <c:pt idx="4">
                        <c:v>15.369590000000001</c:v>
                      </c:pt>
                      <c:pt idx="5">
                        <c:v>14.331725</c:v>
                      </c:pt>
                      <c:pt idx="6">
                        <c:v>12.43591</c:v>
                      </c:pt>
                      <c:pt idx="7">
                        <c:v>9.8503349999999994</c:v>
                      </c:pt>
                      <c:pt idx="8">
                        <c:v>10.40757</c:v>
                      </c:pt>
                      <c:pt idx="9">
                        <c:v>13.998585</c:v>
                      </c:pt>
                      <c:pt idx="10">
                        <c:v>13.806765</c:v>
                      </c:pt>
                      <c:pt idx="11">
                        <c:v>13.695885000000001</c:v>
                      </c:pt>
                      <c:pt idx="12">
                        <c:v>10.02717</c:v>
                      </c:pt>
                      <c:pt idx="13">
                        <c:v>14.17343</c:v>
                      </c:pt>
                      <c:pt idx="14">
                        <c:v>15.52603</c:v>
                      </c:pt>
                      <c:pt idx="15">
                        <c:v>15.110514999999999</c:v>
                      </c:pt>
                      <c:pt idx="16">
                        <c:v>15.717644999999999</c:v>
                      </c:pt>
                      <c:pt idx="17">
                        <c:v>14.073815</c:v>
                      </c:pt>
                      <c:pt idx="18">
                        <c:v>15.195905</c:v>
                      </c:pt>
                      <c:pt idx="19">
                        <c:v>14.20538</c:v>
                      </c:pt>
                      <c:pt idx="20">
                        <c:v>12.80172</c:v>
                      </c:pt>
                      <c:pt idx="21">
                        <c:v>14.860655</c:v>
                      </c:pt>
                      <c:pt idx="22">
                        <c:v>15.365489999999999</c:v>
                      </c:pt>
                      <c:pt idx="23">
                        <c:v>14.143795000000001</c:v>
                      </c:pt>
                      <c:pt idx="24">
                        <c:v>13.472099999999999</c:v>
                      </c:pt>
                      <c:pt idx="25">
                        <c:v>13.30922</c:v>
                      </c:pt>
                      <c:pt idx="26">
                        <c:v>15.231705</c:v>
                      </c:pt>
                      <c:pt idx="27">
                        <c:v>16.7712</c:v>
                      </c:pt>
                      <c:pt idx="28">
                        <c:v>16.200980000000001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B2-4734-BCC7-F10E7114B78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Rice_Data!$E$1</c15:sqref>
                        </c15:formulaRef>
                      </c:ext>
                    </c:extLst>
                    <c:strCache>
                      <c:ptCount val="1"/>
                      <c:pt idx="0">
                        <c:v>Production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Rice_Data!$E$2:$E$30</c15:sqref>
                        </c15:formulaRef>
                      </c:ext>
                    </c:extLst>
                    <c:numCache>
                      <c:formatCode>0</c:formatCode>
                      <c:ptCount val="29"/>
                      <c:pt idx="0">
                        <c:v>155152</c:v>
                      </c:pt>
                      <c:pt idx="1">
                        <c:v>148780</c:v>
                      </c:pt>
                      <c:pt idx="2">
                        <c:v>173702</c:v>
                      </c:pt>
                      <c:pt idx="3">
                        <c:v>123519</c:v>
                      </c:pt>
                      <c:pt idx="4">
                        <c:v>364000</c:v>
                      </c:pt>
                      <c:pt idx="5">
                        <c:v>202293</c:v>
                      </c:pt>
                      <c:pt idx="6">
                        <c:v>206989</c:v>
                      </c:pt>
                      <c:pt idx="7">
                        <c:v>172395</c:v>
                      </c:pt>
                      <c:pt idx="8">
                        <c:v>231805</c:v>
                      </c:pt>
                      <c:pt idx="9">
                        <c:v>201744</c:v>
                      </c:pt>
                      <c:pt idx="10">
                        <c:v>279080</c:v>
                      </c:pt>
                      <c:pt idx="11">
                        <c:v>190493</c:v>
                      </c:pt>
                      <c:pt idx="12">
                        <c:v>193379</c:v>
                      </c:pt>
                      <c:pt idx="13">
                        <c:v>408219</c:v>
                      </c:pt>
                      <c:pt idx="14">
                        <c:v>502104</c:v>
                      </c:pt>
                      <c:pt idx="15">
                        <c:v>604043.30000000005</c:v>
                      </c:pt>
                      <c:pt idx="16">
                        <c:v>405824</c:v>
                      </c:pt>
                      <c:pt idx="17">
                        <c:v>469649</c:v>
                      </c:pt>
                      <c:pt idx="18">
                        <c:v>436153</c:v>
                      </c:pt>
                      <c:pt idx="19">
                        <c:v>559021</c:v>
                      </c:pt>
                      <c:pt idx="20">
                        <c:v>906348</c:v>
                      </c:pt>
                      <c:pt idx="21">
                        <c:v>950779</c:v>
                      </c:pt>
                      <c:pt idx="22">
                        <c:v>1011269</c:v>
                      </c:pt>
                      <c:pt idx="23">
                        <c:v>1206587.27</c:v>
                      </c:pt>
                      <c:pt idx="24">
                        <c:v>1155730.28</c:v>
                      </c:pt>
                      <c:pt idx="25">
                        <c:v>1349723.01</c:v>
                      </c:pt>
                      <c:pt idx="26">
                        <c:v>1382119.93</c:v>
                      </c:pt>
                      <c:pt idx="27">
                        <c:v>1409120</c:v>
                      </c:pt>
                      <c:pt idx="28">
                        <c:v>1521000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EB2-4734-BCC7-F10E7114B78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Rice_Data!$J$1</c15:sqref>
                        </c15:formulaRef>
                      </c:ext>
                    </c:extLst>
                    <c:strCache>
                      <c:ptCount val="1"/>
                      <c:pt idx="0">
                        <c:v>Lag1Y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Rice_Data!$J$2:$J$30</c15:sqref>
                        </c15:formulaRef>
                      </c:ext>
                    </c:extLst>
                    <c:numCache>
                      <c:formatCode>0</c:formatCode>
                      <c:ptCount val="29"/>
                      <c:pt idx="1">
                        <c:v>155152</c:v>
                      </c:pt>
                      <c:pt idx="2">
                        <c:v>148780</c:v>
                      </c:pt>
                      <c:pt idx="3">
                        <c:v>173702</c:v>
                      </c:pt>
                      <c:pt idx="4">
                        <c:v>123519</c:v>
                      </c:pt>
                      <c:pt idx="5">
                        <c:v>364000</c:v>
                      </c:pt>
                      <c:pt idx="6">
                        <c:v>202293</c:v>
                      </c:pt>
                      <c:pt idx="7">
                        <c:v>206989</c:v>
                      </c:pt>
                      <c:pt idx="8">
                        <c:v>172395</c:v>
                      </c:pt>
                      <c:pt idx="9">
                        <c:v>231805</c:v>
                      </c:pt>
                      <c:pt idx="10">
                        <c:v>201744</c:v>
                      </c:pt>
                      <c:pt idx="11">
                        <c:v>279080</c:v>
                      </c:pt>
                      <c:pt idx="12">
                        <c:v>190493</c:v>
                      </c:pt>
                      <c:pt idx="13">
                        <c:v>193379</c:v>
                      </c:pt>
                      <c:pt idx="14">
                        <c:v>408219</c:v>
                      </c:pt>
                      <c:pt idx="15">
                        <c:v>502104</c:v>
                      </c:pt>
                      <c:pt idx="16">
                        <c:v>604043.30000000005</c:v>
                      </c:pt>
                      <c:pt idx="17">
                        <c:v>405824</c:v>
                      </c:pt>
                      <c:pt idx="18">
                        <c:v>469649</c:v>
                      </c:pt>
                      <c:pt idx="19">
                        <c:v>436153</c:v>
                      </c:pt>
                      <c:pt idx="20">
                        <c:v>559021</c:v>
                      </c:pt>
                      <c:pt idx="21">
                        <c:v>906348</c:v>
                      </c:pt>
                      <c:pt idx="22">
                        <c:v>950779</c:v>
                      </c:pt>
                      <c:pt idx="23">
                        <c:v>1011269</c:v>
                      </c:pt>
                      <c:pt idx="24">
                        <c:v>1206587.27</c:v>
                      </c:pt>
                      <c:pt idx="25">
                        <c:v>1155730.28</c:v>
                      </c:pt>
                      <c:pt idx="26">
                        <c:v>1349723.01</c:v>
                      </c:pt>
                      <c:pt idx="27">
                        <c:v>1382119.93</c:v>
                      </c:pt>
                      <c:pt idx="28">
                        <c:v>1409120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EB2-4734-BCC7-F10E7114B78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Rice_Data!$K$1</c:f>
              <c:strCache>
                <c:ptCount val="1"/>
                <c:pt idx="0">
                  <c:v>DifferencedProd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Rice_Data!$K$2:$K$30</c:f>
              <c:numCache>
                <c:formatCode>0</c:formatCode>
                <c:ptCount val="29"/>
                <c:pt idx="1">
                  <c:v>-6372</c:v>
                </c:pt>
                <c:pt idx="2">
                  <c:v>24922</c:v>
                </c:pt>
                <c:pt idx="3">
                  <c:v>-50183</c:v>
                </c:pt>
                <c:pt idx="4">
                  <c:v>240481</c:v>
                </c:pt>
                <c:pt idx="5">
                  <c:v>-161707</c:v>
                </c:pt>
                <c:pt idx="6">
                  <c:v>4696</c:v>
                </c:pt>
                <c:pt idx="7">
                  <c:v>-34594</c:v>
                </c:pt>
                <c:pt idx="8">
                  <c:v>59410</c:v>
                </c:pt>
                <c:pt idx="9">
                  <c:v>-30061</c:v>
                </c:pt>
                <c:pt idx="10">
                  <c:v>77336</c:v>
                </c:pt>
                <c:pt idx="11">
                  <c:v>-88587</c:v>
                </c:pt>
                <c:pt idx="12">
                  <c:v>2886</c:v>
                </c:pt>
                <c:pt idx="13">
                  <c:v>214840</c:v>
                </c:pt>
                <c:pt idx="14">
                  <c:v>93885</c:v>
                </c:pt>
                <c:pt idx="15">
                  <c:v>101939.30000000005</c:v>
                </c:pt>
                <c:pt idx="16">
                  <c:v>-198219.30000000005</c:v>
                </c:pt>
                <c:pt idx="17">
                  <c:v>63825</c:v>
                </c:pt>
                <c:pt idx="18">
                  <c:v>-33496</c:v>
                </c:pt>
                <c:pt idx="19">
                  <c:v>122868</c:v>
                </c:pt>
                <c:pt idx="20">
                  <c:v>347327</c:v>
                </c:pt>
                <c:pt idx="21">
                  <c:v>44431</c:v>
                </c:pt>
                <c:pt idx="22">
                  <c:v>60490</c:v>
                </c:pt>
                <c:pt idx="23">
                  <c:v>195318.27000000002</c:v>
                </c:pt>
                <c:pt idx="24">
                  <c:v>-50856.989999999991</c:v>
                </c:pt>
                <c:pt idx="25">
                  <c:v>193992.72999999998</c:v>
                </c:pt>
                <c:pt idx="26">
                  <c:v>32396.919999999925</c:v>
                </c:pt>
                <c:pt idx="27">
                  <c:v>27000.070000000065</c:v>
                </c:pt>
                <c:pt idx="28">
                  <c:v>111880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B2-4734-BCC7-F10E7114B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759568"/>
        <c:axId val="533769648"/>
      </c:lineChart>
      <c:lineChart>
        <c:grouping val="standard"/>
        <c:varyColors val="0"/>
        <c:ser>
          <c:idx val="3"/>
          <c:order val="3"/>
          <c:tx>
            <c:strRef>
              <c:f>Rice_Data!$D$1</c:f>
              <c:strCache>
                <c:ptCount val="1"/>
                <c:pt idx="0">
                  <c:v>Cumulative_Rainfall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Rice_Data!$A$2:$A$30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  <c:extLst xmlns:c15="http://schemas.microsoft.com/office/drawing/2012/chart"/>
            </c:numRef>
          </c:cat>
          <c:val>
            <c:numRef>
              <c:f>Rice_Data!$D$2:$D$30</c:f>
              <c:numCache>
                <c:formatCode>0.00</c:formatCode>
                <c:ptCount val="29"/>
                <c:pt idx="0">
                  <c:v>153.93096499999999</c:v>
                </c:pt>
                <c:pt idx="1">
                  <c:v>228.66630499999999</c:v>
                </c:pt>
                <c:pt idx="2">
                  <c:v>299.26623499999999</c:v>
                </c:pt>
                <c:pt idx="3">
                  <c:v>184.80901499999999</c:v>
                </c:pt>
                <c:pt idx="4">
                  <c:v>291.49660499999999</c:v>
                </c:pt>
                <c:pt idx="5">
                  <c:v>191.74173999999999</c:v>
                </c:pt>
                <c:pt idx="6">
                  <c:v>212.47529</c:v>
                </c:pt>
                <c:pt idx="7">
                  <c:v>154.54413499999899</c:v>
                </c:pt>
                <c:pt idx="8">
                  <c:v>219.70230000000001</c:v>
                </c:pt>
                <c:pt idx="9">
                  <c:v>277.65585499999997</c:v>
                </c:pt>
                <c:pt idx="10">
                  <c:v>371.26574499999998</c:v>
                </c:pt>
                <c:pt idx="11">
                  <c:v>256.05957000000001</c:v>
                </c:pt>
                <c:pt idx="12">
                  <c:v>181.593435</c:v>
                </c:pt>
                <c:pt idx="13">
                  <c:v>412.05978499999901</c:v>
                </c:pt>
                <c:pt idx="14">
                  <c:v>260.21795500000002</c:v>
                </c:pt>
                <c:pt idx="15">
                  <c:v>279.15816000000001</c:v>
                </c:pt>
                <c:pt idx="16">
                  <c:v>187.78010499999999</c:v>
                </c:pt>
                <c:pt idx="17">
                  <c:v>290.41948000000002</c:v>
                </c:pt>
                <c:pt idx="18">
                  <c:v>201.11938499999999</c:v>
                </c:pt>
                <c:pt idx="19">
                  <c:v>155.26899999999901</c:v>
                </c:pt>
                <c:pt idx="20">
                  <c:v>229.33441999999999</c:v>
                </c:pt>
                <c:pt idx="21">
                  <c:v>259.19231500000001</c:v>
                </c:pt>
                <c:pt idx="22">
                  <c:v>311.30731500000002</c:v>
                </c:pt>
                <c:pt idx="23">
                  <c:v>234.735345</c:v>
                </c:pt>
                <c:pt idx="24">
                  <c:v>163.57874000000001</c:v>
                </c:pt>
                <c:pt idx="25">
                  <c:v>423.99309</c:v>
                </c:pt>
                <c:pt idx="26">
                  <c:v>345.89476999999999</c:v>
                </c:pt>
                <c:pt idx="27">
                  <c:v>474.30213500000002</c:v>
                </c:pt>
                <c:pt idx="28">
                  <c:v>279.21334000000002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6-2EB2-4734-BCC7-F10E7114B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4018784"/>
        <c:axId val="1564032704"/>
      </c:lineChart>
      <c:catAx>
        <c:axId val="53375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69648"/>
        <c:crosses val="autoZero"/>
        <c:auto val="1"/>
        <c:lblAlgn val="ctr"/>
        <c:lblOffset val="100"/>
        <c:noMultiLvlLbl val="0"/>
      </c:catAx>
      <c:valAx>
        <c:axId val="53376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59568"/>
        <c:crosses val="autoZero"/>
        <c:crossBetween val="between"/>
      </c:valAx>
      <c:valAx>
        <c:axId val="156403270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018784"/>
        <c:crosses val="max"/>
        <c:crossBetween val="between"/>
      </c:valAx>
      <c:catAx>
        <c:axId val="1564018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4032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12700</xdr:colOff>
      <xdr:row>1</xdr:row>
      <xdr:rowOff>127000</xdr:rowOff>
    </xdr:from>
    <xdr:to>
      <xdr:col>22</xdr:col>
      <xdr:colOff>339725</xdr:colOff>
      <xdr:row>20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D64117-00ED-49DE-9616-5C3686B65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50800</xdr:colOff>
      <xdr:row>21</xdr:row>
      <xdr:rowOff>114300</xdr:rowOff>
    </xdr:from>
    <xdr:to>
      <xdr:col>22</xdr:col>
      <xdr:colOff>377825</xdr:colOff>
      <xdr:row>40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B335C5-E936-4C41-B10D-B9C35FBF9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ej" refreshedDate="45518.645115856481" createdVersion="8" refreshedVersion="8" minRefreshableVersion="3" recordCount="145" xr:uid="{DE28C13D-41D9-45CC-8255-35C768633DE3}">
  <cacheSource type="worksheet">
    <worksheetSource ref="A2:BN147" sheet="final_data_8"/>
  </cacheSource>
  <cacheFields count="66">
    <cacheField name="Crop" numFmtId="0">
      <sharedItems count="5">
        <s v="Peanut"/>
        <s v="Corn"/>
        <s v="Millet"/>
        <s v="Rice"/>
        <s v="Sorghum"/>
      </sharedItems>
    </cacheField>
    <cacheField name="Production" numFmtId="0">
      <sharedItems containsSemiMixedTypes="0" containsString="0" containsNumber="1" minValue="44339" maxValue="1797486.11"/>
    </cacheField>
    <cacheField name="Year" numFmtId="0">
      <sharedItems containsSemiMixedTypes="0" containsString="0" containsNumber="1" containsInteger="1" minValue="1995" maxValue="2023" count="29"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Dakar_VHI" numFmtId="0">
      <sharedItems containsSemiMixedTypes="0" containsString="0" containsNumber="1" minValue="0.173666666666666" maxValue="0.67733333333333301"/>
    </cacheField>
    <cacheField name="Diourbel_VHI" numFmtId="0">
      <sharedItems containsSemiMixedTypes="0" containsString="0" containsNumber="1" minValue="0.26133333333333297" maxValue="0.88766666666666605"/>
    </cacheField>
    <cacheField name="Fatick_VHI" numFmtId="0">
      <sharedItems containsSemiMixedTypes="0" containsString="0" containsNumber="1" minValue="0.188999999999999" maxValue="0.789333333333333"/>
    </cacheField>
    <cacheField name="Kaffrine_VHI" numFmtId="0">
      <sharedItems containsSemiMixedTypes="0" containsString="0" containsNumber="1" minValue="0.214" maxValue="0.83899999999999997"/>
    </cacheField>
    <cacheField name="Kaolack_VHI" numFmtId="0">
      <sharedItems containsSemiMixedTypes="0" containsString="0" containsNumber="1" minValue="0.153" maxValue="0.84566666666666601"/>
    </cacheField>
    <cacheField name="Kedougou_VHI" numFmtId="0">
      <sharedItems containsSemiMixedTypes="0" containsString="0" containsNumber="1" minValue="0.18566666666666601" maxValue="0.84499999999999997"/>
    </cacheField>
    <cacheField name="Kolda_VHI" numFmtId="0">
      <sharedItems containsSemiMixedTypes="0" containsString="0" containsNumber="1" minValue="0.24133333333333301" maxValue="0.80066666666666597"/>
    </cacheField>
    <cacheField name="Louga_VHI" numFmtId="0">
      <sharedItems containsSemiMixedTypes="0" containsString="0" containsNumber="1" minValue="0.17433333333333301" maxValue="0.77766666666666595"/>
    </cacheField>
    <cacheField name="Matam_VHI" numFmtId="0">
      <sharedItems containsSemiMixedTypes="0" containsString="0" containsNumber="1" minValue="0.30233333333333301" maxValue="0.82133333333333303"/>
    </cacheField>
    <cacheField name="Saint louis_VHI" numFmtId="0">
      <sharedItems containsSemiMixedTypes="0" containsString="0" containsNumber="1" minValue="0.24966666666666601" maxValue="0.80833333333333302"/>
    </cacheField>
    <cacheField name="Sedhiou_VHI" numFmtId="0">
      <sharedItems containsSemiMixedTypes="0" containsString="0" containsNumber="1" minValue="0.30866666666666598" maxValue="0.79549999999999998"/>
    </cacheField>
    <cacheField name="Tambacounda_VHI" numFmtId="0">
      <sharedItems containsSemiMixedTypes="0" containsString="0" containsNumber="1" minValue="0.13366666666666599" maxValue="0.86933333333333296"/>
    </cacheField>
    <cacheField name="Thies_VHI" numFmtId="0">
      <sharedItems containsSemiMixedTypes="0" containsString="0" containsNumber="1" minValue="0.22066666666666601" maxValue="0.77466666666666595"/>
    </cacheField>
    <cacheField name="Ziguinchor_VHI" numFmtId="0">
      <sharedItems containsSemiMixedTypes="0" containsString="0" containsNumber="1" minValue="0.337666666666666" maxValue="0.76"/>
    </cacheField>
    <cacheField name="Corn_Weighted_VHI" numFmtId="0">
      <sharedItems containsSemiMixedTypes="0" containsString="0" containsNumber="1" minValue="0.26151200000000002" maxValue="0.89478399999999902"/>
    </cacheField>
    <cacheField name="Cotton_Weighted_VHI" numFmtId="0">
      <sharedItems containsSemiMixedTypes="0" containsString="0" containsNumber="1" minValue="0.209683333333333" maxValue="0.81994666666666605"/>
    </cacheField>
    <cacheField name="Millet_Weighted_VHI" numFmtId="0">
      <sharedItems containsSemiMixedTypes="0" containsString="0" containsNumber="1" minValue="0.214413333186666" maxValue="0.78937555514533297"/>
    </cacheField>
    <cacheField name="Peanut_Weighted_VHI" numFmtId="0">
      <sharedItems containsSemiMixedTypes="0" containsString="0" containsNumber="1" minValue="0.214314762449999" maxValue="0.79557666814533301"/>
    </cacheField>
    <cacheField name="Rice_Weighted_VHI" numFmtId="0">
      <sharedItems containsSemiMixedTypes="0" containsString="0" containsNumber="1" minValue="0.31985333333333299" maxValue="0.86824666666666594"/>
    </cacheField>
    <cacheField name="Sorghum_Weighted_VHI" numFmtId="0">
      <sharedItems containsSemiMixedTypes="0" containsString="0" containsNumber="1" minValue="0.25643933333333302" maxValue="0.907171333333333"/>
    </cacheField>
    <cacheField name="Dakar_VHI_Cumulative" numFmtId="0">
      <sharedItems containsSemiMixedTypes="0" containsString="0" containsNumber="1" minValue="7.9109999999999996" maxValue="12.606999999999999"/>
    </cacheField>
    <cacheField name="Diourbel_VHI_Cumulative" numFmtId="0">
      <sharedItems containsSemiMixedTypes="0" containsString="0" containsNumber="1" minValue="7.2610000000000001" maxValue="14.276999999999999"/>
    </cacheField>
    <cacheField name="Fatick_VHI_Cumulative" numFmtId="0">
      <sharedItems containsSemiMixedTypes="0" containsString="0" containsNumber="1" minValue="7.88" maxValue="14.353999999999999"/>
    </cacheField>
    <cacheField name="Kaffrine_VHI_Cumulative" numFmtId="0">
      <sharedItems containsSemiMixedTypes="0" containsString="0" containsNumber="1" minValue="6.5810000000000004" maxValue="14.811999999999999"/>
    </cacheField>
    <cacheField name="Kaolack_VHI_Cumulative" numFmtId="0">
      <sharedItems containsSemiMixedTypes="0" containsString="0" containsNumber="1" minValue="7.3449999999999998" maxValue="14.708"/>
    </cacheField>
    <cacheField name="Kedougou_VHI_Cumulative" numFmtId="0">
      <sharedItems containsSemiMixedTypes="0" containsString="0" containsNumber="1" minValue="8.4849999999999994" maxValue="14.340999999999999"/>
    </cacheField>
    <cacheField name="Kolda_VHI_Cumulative" numFmtId="0">
      <sharedItems containsSemiMixedTypes="0" containsString="0" containsNumber="1" minValue="7.1020000000000003" maxValue="14.084"/>
    </cacheField>
    <cacheField name="Louga_VHI_Cumulative" numFmtId="0">
      <sharedItems containsSemiMixedTypes="0" containsString="0" containsNumber="1" minValue="7.7809999999999997" maxValue="14.352"/>
    </cacheField>
    <cacheField name="Matam_VHI_Cumulative" numFmtId="0">
      <sharedItems containsSemiMixedTypes="0" containsString="0" containsNumber="1" minValue="7.0049999999999999" maxValue="14.898"/>
    </cacheField>
    <cacheField name="Saint louis_VHI_Cumulative" numFmtId="0">
      <sharedItems containsSemiMixedTypes="0" containsString="0" containsNumber="1" minValue="6.7080000000000002" maxValue="14.297000000000001"/>
    </cacheField>
    <cacheField name="Sedhiou_VHI_Cumulative" numFmtId="0">
      <sharedItems containsSemiMixedTypes="0" containsString="0" containsNumber="1" minValue="7.6280000000000001" maxValue="16.04"/>
    </cacheField>
    <cacheField name="Tambacounda_VHI_Cumulative" numFmtId="0">
      <sharedItems containsSemiMixedTypes="0" containsString="0" containsNumber="1" minValue="7.6020000000000003" maxValue="14.364000000000001"/>
    </cacheField>
    <cacheField name="Thies_VHI_Cumulative" numFmtId="0">
      <sharedItems containsSemiMixedTypes="0" containsString="0" containsNumber="1" minValue="7.4480000000000004" maxValue="13.836"/>
    </cacheField>
    <cacheField name="Ziguinchor_VHI_Cumulative" numFmtId="0">
      <sharedItems containsSemiMixedTypes="0" containsString="0" containsNumber="1" minValue="8.3989999999999991" maxValue="15.151"/>
    </cacheField>
    <cacheField name="Corn_Weighted_VHI_Cumulative" numFmtId="0">
      <sharedItems containsSemiMixedTypes="0" containsString="0" containsNumber="1" minValue="9.122204" maxValue="16.346847999999898"/>
    </cacheField>
    <cacheField name="Cotton_Weighted_VHI_Cumulative" numFmtId="0">
      <sharedItems containsSemiMixedTypes="0" containsString="0" containsNumber="1" minValue="7.3115600000000001" maxValue="13.84559"/>
    </cacheField>
    <cacheField name="Millet_Weighted_VHI_Cumulative" numFmtId="0">
      <sharedItems containsSemiMixedTypes="0" containsString="0" containsNumber="1" minValue="7.6536999950529996" maxValue="14.327028881077"/>
    </cacheField>
    <cacheField name="Peanut_Weighted_VHI_Cumulative" numFmtId="0">
      <sharedItems containsSemiMixedTypes="0" containsString="0" containsNumber="1" minValue="7.5935628748159996" maxValue="14.20518574301"/>
    </cacheField>
    <cacheField name="Rice_Weighted_VHI_Cumulative" numFmtId="0">
      <sharedItems containsSemiMixedTypes="0" containsString="0" containsNumber="1" minValue="9.8503349999999994" maxValue="16.7712"/>
    </cacheField>
    <cacheField name="Sorghum_Weighted_VHI_Cumulative" numFmtId="0">
      <sharedItems containsSemiMixedTypes="0" containsString="0" containsNumber="1" minValue="8.9211100000000005" maxValue="16.444602"/>
    </cacheField>
    <cacheField name="Dakar_Rainfall" numFmtId="0">
      <sharedItems containsSemiMixedTypes="0" containsString="0" containsNumber="1" minValue="19.385999999999999" maxValue="267.54199999999997"/>
    </cacheField>
    <cacheField name="Diourbel_Rainfall" numFmtId="0">
      <sharedItems containsSemiMixedTypes="0" containsString="0" containsNumber="1" minValue="39.704999999999998" maxValue="287.54700000000003"/>
    </cacheField>
    <cacheField name="Fatick_Rainfall" numFmtId="0">
      <sharedItems containsSemiMixedTypes="0" containsString="0" containsNumber="1" minValue="55.753999999999998" maxValue="296.86"/>
    </cacheField>
    <cacheField name="Kaffrine_Rainfall" numFmtId="0">
      <sharedItems containsSemiMixedTypes="0" containsString="0" containsNumber="1" minValue="66.683000000000007" maxValue="341.56"/>
    </cacheField>
    <cacheField name="Kaolack_Rainfall" numFmtId="0">
      <sharedItems containsSemiMixedTypes="0" containsString="0" containsNumber="1" minValue="76.146999999999906" maxValue="346.57499999999999"/>
    </cacheField>
    <cacheField name="Kedougou_Rainfall" numFmtId="0">
      <sharedItems containsSemiMixedTypes="0" containsString="0" containsNumber="1" minValue="220.113" maxValue="710.69200000000001"/>
    </cacheField>
    <cacheField name="Kolda_Rainfall" numFmtId="0">
      <sharedItems containsSemiMixedTypes="0" containsString="0" containsNumber="1" minValue="131.352" maxValue="395.74900000000002"/>
    </cacheField>
    <cacheField name="Louga_Rainfall" numFmtId="0">
      <sharedItems containsSemiMixedTypes="0" containsString="0" containsNumber="1" minValue="32.68" maxValue="179.09100000000001"/>
    </cacheField>
    <cacheField name="Matam_Rainfall" numFmtId="0">
      <sharedItems containsSemiMixedTypes="0" containsString="0" containsNumber="1" minValue="70.215000000000003" maxValue="254.32499999999999"/>
    </cacheField>
    <cacheField name="Saint louis_Rainfall" numFmtId="0">
      <sharedItems containsSemiMixedTypes="0" containsString="0" containsNumber="1" minValue="20.277999999999999" maxValue="178.726"/>
    </cacheField>
    <cacheField name="Sedhiou_Rainfall" numFmtId="0">
      <sharedItems containsSemiMixedTypes="0" containsString="0" containsNumber="1" minValue="159.93899999999999" maxValue="541.97500000000002"/>
    </cacheField>
    <cacheField name="Tambacounda_Rainfall" numFmtId="0">
      <sharedItems containsSemiMixedTypes="0" containsString="0" containsNumber="1" minValue="101.25700000000001" maxValue="357.84199999999998"/>
    </cacheField>
    <cacheField name="Thies_Rainfall" numFmtId="0">
      <sharedItems containsSemiMixedTypes="0" containsString="0" containsNumber="1" minValue="26.821000000000002" maxValue="214.184"/>
    </cacheField>
    <cacheField name="Ziguinchor_Rainfall" numFmtId="0">
      <sharedItems containsSemiMixedTypes="0" containsString="0" containsNumber="1" minValue="145.739" maxValue="773.69899999999996"/>
    </cacheField>
    <cacheField name="Corn_Weighted_Rainfall" numFmtId="0">
      <sharedItems containsSemiMixedTypes="0" containsString="0" containsNumber="1" minValue="138.43964800000001" maxValue="408.08299799999998"/>
    </cacheField>
    <cacheField name="Cotton_Weighted_Rainfall" numFmtId="0">
      <sharedItems containsSemiMixedTypes="0" containsString="0" containsNumber="1" minValue="135.9682" maxValue="395.55534999999998"/>
    </cacheField>
    <cacheField name="Millet_Weighted_Rainfall" numFmtId="0">
      <sharedItems containsSemiMixedTypes="0" containsString="0" containsNumber="1" minValue="88.485245472895997" maxValue="295.00036536092199"/>
    </cacheField>
    <cacheField name="Peanut_Weighted_Rainfall" numFmtId="0">
      <sharedItems containsSemiMixedTypes="0" containsString="0" containsNumber="1" minValue="97.207498856952" maxValue="298.202447850292"/>
    </cacheField>
    <cacheField name="Rice_Weighted_Rainfall" numFmtId="0">
      <sharedItems containsSemiMixedTypes="0" containsString="0" containsNumber="1" minValue="153.93096499999999" maxValue="474.30213500000002"/>
    </cacheField>
    <cacheField name="Sorghum_Weighted_Rainfall" numFmtId="0">
      <sharedItems containsSemiMixedTypes="0" containsString="0" containsNumber="1" minValue="124.258852" maxValue="398.57258200000001"/>
    </cacheField>
    <cacheField name="VHI" numFmtId="0">
      <sharedItems containsSemiMixedTypes="0" containsString="0" containsNumber="1" minValue="0.214314762449999" maxValue="0.907171333333333"/>
    </cacheField>
    <cacheField name="Cum_VHI" numFmtId="0">
      <sharedItems containsSemiMixedTypes="0" containsString="0" containsNumber="1" minValue="7.5935628748159996" maxValue="16.7712"/>
    </cacheField>
    <cacheField name="Cum_Rainfall" numFmtId="0">
      <sharedItems containsSemiMixedTypes="0" containsString="0" containsNumber="1" minValue="88.485245472895997" maxValue="474.302135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x v="0"/>
    <n v="790617"/>
    <x v="0"/>
    <n v="0.48733333333333301"/>
    <n v="0.53100000000000003"/>
    <n v="0.59966666666666602"/>
    <n v="0.62266666666666604"/>
    <n v="0.65866666666666596"/>
    <n v="0.64466666666666606"/>
    <n v="0.69066666666666598"/>
    <n v="0.56899999999999995"/>
    <n v="0.54933333333333301"/>
    <n v="0.64500000000000002"/>
    <n v="0.65166666666666595"/>
    <n v="0.624"/>
    <n v="0.495"/>
    <n v="0.56999999999999995"/>
    <n v="0.71273133333333305"/>
    <n v="0.66713"/>
    <n v="0.60980481449299995"/>
    <n v="0.61910523926066596"/>
    <n v="0.72702999999999995"/>
    <n v="0.712019333333333"/>
    <n v="9.6560000000000006"/>
    <n v="9.9410000000000007"/>
    <n v="10.337"/>
    <n v="10.548"/>
    <n v="11.241"/>
    <n v="11.574999999999999"/>
    <n v="13.191000000000001"/>
    <n v="10.304"/>
    <n v="10.288"/>
    <n v="9.5410000000000004"/>
    <n v="12.827"/>
    <n v="11.257"/>
    <n v="9.9600000000000009"/>
    <n v="11.465999999999999"/>
    <n v="13.140108"/>
    <n v="12.455249999999999"/>
    <n v="10.908352216386"/>
    <n v="11.085691450083999"/>
    <n v="13.329575"/>
    <n v="12.889288000000001"/>
    <n v="76.067999999999998"/>
    <n v="106.07299999999999"/>
    <n v="98.900999999999996"/>
    <n v="66.683000000000007"/>
    <n v="76.146999999999906"/>
    <n v="220.113"/>
    <n v="147.80500000000001"/>
    <n v="95.131"/>
    <n v="70.215000000000003"/>
    <n v="59.31"/>
    <n v="171.245"/>
    <n v="101.25700000000001"/>
    <n v="92.337000000000003"/>
    <n v="206.81899999999999"/>
    <n v="138.43964800000001"/>
    <n v="135.9682"/>
    <n v="97.193635485274996"/>
    <n v="99.535883117097995"/>
    <n v="153.93096499999999"/>
    <n v="124.258852"/>
    <n v="0.61910523926066596"/>
    <n v="11.085691450083999"/>
    <n v="99.535883117097995"/>
  </r>
  <r>
    <x v="1"/>
    <n v="106509"/>
    <x v="0"/>
    <n v="0.48733333333333301"/>
    <n v="0.53100000000000003"/>
    <n v="0.59966666666666602"/>
    <n v="0.62266666666666604"/>
    <n v="0.65866666666666596"/>
    <n v="0.64466666666666606"/>
    <n v="0.69066666666666598"/>
    <n v="0.56899999999999995"/>
    <n v="0.54933333333333301"/>
    <n v="0.64500000000000002"/>
    <n v="0.65166666666666595"/>
    <n v="0.624"/>
    <n v="0.495"/>
    <n v="0.56999999999999995"/>
    <n v="0.71273133333333305"/>
    <n v="0.66713"/>
    <n v="0.60980481449299995"/>
    <n v="0.61910523926066596"/>
    <n v="0.72702999999999995"/>
    <n v="0.712019333333333"/>
    <n v="9.6560000000000006"/>
    <n v="9.9410000000000007"/>
    <n v="10.337"/>
    <n v="10.548"/>
    <n v="11.241"/>
    <n v="11.574999999999999"/>
    <n v="13.191000000000001"/>
    <n v="10.304"/>
    <n v="10.288"/>
    <n v="9.5410000000000004"/>
    <n v="12.827"/>
    <n v="11.257"/>
    <n v="9.9600000000000009"/>
    <n v="11.465999999999999"/>
    <n v="13.140108"/>
    <n v="12.455249999999999"/>
    <n v="10.908352216386"/>
    <n v="11.085691450083999"/>
    <n v="13.329575"/>
    <n v="12.889288000000001"/>
    <n v="76.067999999999998"/>
    <n v="106.07299999999999"/>
    <n v="98.900999999999996"/>
    <n v="66.683000000000007"/>
    <n v="76.146999999999906"/>
    <n v="220.113"/>
    <n v="147.80500000000001"/>
    <n v="95.131"/>
    <n v="70.215000000000003"/>
    <n v="59.31"/>
    <n v="171.245"/>
    <n v="101.25700000000001"/>
    <n v="92.337000000000003"/>
    <n v="206.81899999999999"/>
    <n v="138.43964800000001"/>
    <n v="135.9682"/>
    <n v="97.193635485274996"/>
    <n v="99.535883117097995"/>
    <n v="153.93096499999999"/>
    <n v="124.258852"/>
    <n v="0.71273133333333305"/>
    <n v="13.140108"/>
    <n v="138.43964800000001"/>
  </r>
  <r>
    <x v="2"/>
    <n v="794133"/>
    <x v="0"/>
    <n v="0.48733333333333301"/>
    <n v="0.53100000000000003"/>
    <n v="0.59966666666666602"/>
    <n v="0.62266666666666604"/>
    <n v="0.65866666666666596"/>
    <n v="0.64466666666666606"/>
    <n v="0.69066666666666598"/>
    <n v="0.56899999999999995"/>
    <n v="0.54933333333333301"/>
    <n v="0.64500000000000002"/>
    <n v="0.65166666666666595"/>
    <n v="0.624"/>
    <n v="0.495"/>
    <n v="0.56999999999999995"/>
    <n v="0.71273133333333305"/>
    <n v="0.66713"/>
    <n v="0.60980481449299995"/>
    <n v="0.61910523926066596"/>
    <n v="0.72702999999999995"/>
    <n v="0.712019333333333"/>
    <n v="9.6560000000000006"/>
    <n v="9.9410000000000007"/>
    <n v="10.337"/>
    <n v="10.548"/>
    <n v="11.241"/>
    <n v="11.574999999999999"/>
    <n v="13.191000000000001"/>
    <n v="10.304"/>
    <n v="10.288"/>
    <n v="9.5410000000000004"/>
    <n v="12.827"/>
    <n v="11.257"/>
    <n v="9.9600000000000009"/>
    <n v="11.465999999999999"/>
    <n v="13.140108"/>
    <n v="12.455249999999999"/>
    <n v="10.908352216386"/>
    <n v="11.085691450083999"/>
    <n v="13.329575"/>
    <n v="12.889288000000001"/>
    <n v="76.067999999999998"/>
    <n v="106.07299999999999"/>
    <n v="98.900999999999996"/>
    <n v="66.683000000000007"/>
    <n v="76.146999999999906"/>
    <n v="220.113"/>
    <n v="147.80500000000001"/>
    <n v="95.131"/>
    <n v="70.215000000000003"/>
    <n v="59.31"/>
    <n v="171.245"/>
    <n v="101.25700000000001"/>
    <n v="92.337000000000003"/>
    <n v="206.81899999999999"/>
    <n v="138.43964800000001"/>
    <n v="135.9682"/>
    <n v="97.193635485274996"/>
    <n v="99.535883117097995"/>
    <n v="153.93096499999999"/>
    <n v="124.258852"/>
    <n v="0.60980481449299995"/>
    <n v="10.908352216386"/>
    <n v="97.193635485274996"/>
  </r>
  <r>
    <x v="3"/>
    <n v="155152"/>
    <x v="0"/>
    <n v="0.48733333333333301"/>
    <n v="0.53100000000000003"/>
    <n v="0.59966666666666602"/>
    <n v="0.62266666666666604"/>
    <n v="0.65866666666666596"/>
    <n v="0.64466666666666606"/>
    <n v="0.69066666666666598"/>
    <n v="0.56899999999999995"/>
    <n v="0.54933333333333301"/>
    <n v="0.64500000000000002"/>
    <n v="0.65166666666666595"/>
    <n v="0.624"/>
    <n v="0.495"/>
    <n v="0.56999999999999995"/>
    <n v="0.71273133333333305"/>
    <n v="0.66713"/>
    <n v="0.60980481449299995"/>
    <n v="0.61910523926066596"/>
    <n v="0.72702999999999995"/>
    <n v="0.712019333333333"/>
    <n v="9.6560000000000006"/>
    <n v="9.9410000000000007"/>
    <n v="10.337"/>
    <n v="10.548"/>
    <n v="11.241"/>
    <n v="11.574999999999999"/>
    <n v="13.191000000000001"/>
    <n v="10.304"/>
    <n v="10.288"/>
    <n v="9.5410000000000004"/>
    <n v="12.827"/>
    <n v="11.257"/>
    <n v="9.9600000000000009"/>
    <n v="11.465999999999999"/>
    <n v="13.140108"/>
    <n v="12.455249999999999"/>
    <n v="10.908352216386"/>
    <n v="11.085691450083999"/>
    <n v="13.329575"/>
    <n v="12.889288000000001"/>
    <n v="76.067999999999998"/>
    <n v="106.07299999999999"/>
    <n v="98.900999999999996"/>
    <n v="66.683000000000007"/>
    <n v="76.146999999999906"/>
    <n v="220.113"/>
    <n v="147.80500000000001"/>
    <n v="95.131"/>
    <n v="70.215000000000003"/>
    <n v="59.31"/>
    <n v="171.245"/>
    <n v="101.25700000000001"/>
    <n v="92.337000000000003"/>
    <n v="206.81899999999999"/>
    <n v="138.43964800000001"/>
    <n v="135.9682"/>
    <n v="97.193635485274996"/>
    <n v="99.535883117097995"/>
    <n v="153.93096499999999"/>
    <n v="124.258852"/>
    <n v="0.72702999999999995"/>
    <n v="13.329575"/>
    <n v="153.93096499999999"/>
  </r>
  <r>
    <x v="4"/>
    <n v="127328"/>
    <x v="0"/>
    <n v="0.48733333333333301"/>
    <n v="0.53100000000000003"/>
    <n v="0.59966666666666602"/>
    <n v="0.62266666666666604"/>
    <n v="0.65866666666666596"/>
    <n v="0.64466666666666606"/>
    <n v="0.69066666666666598"/>
    <n v="0.56899999999999995"/>
    <n v="0.54933333333333301"/>
    <n v="0.64500000000000002"/>
    <n v="0.65166666666666595"/>
    <n v="0.624"/>
    <n v="0.495"/>
    <n v="0.56999999999999995"/>
    <n v="0.71273133333333305"/>
    <n v="0.66713"/>
    <n v="0.60980481449299995"/>
    <n v="0.61910523926066596"/>
    <n v="0.72702999999999995"/>
    <n v="0.712019333333333"/>
    <n v="9.6560000000000006"/>
    <n v="9.9410000000000007"/>
    <n v="10.337"/>
    <n v="10.548"/>
    <n v="11.241"/>
    <n v="11.574999999999999"/>
    <n v="13.191000000000001"/>
    <n v="10.304"/>
    <n v="10.288"/>
    <n v="9.5410000000000004"/>
    <n v="12.827"/>
    <n v="11.257"/>
    <n v="9.9600000000000009"/>
    <n v="11.465999999999999"/>
    <n v="13.140108"/>
    <n v="12.455249999999999"/>
    <n v="10.908352216386"/>
    <n v="11.085691450083999"/>
    <n v="13.329575"/>
    <n v="12.889288000000001"/>
    <n v="76.067999999999998"/>
    <n v="106.07299999999999"/>
    <n v="98.900999999999996"/>
    <n v="66.683000000000007"/>
    <n v="76.146999999999906"/>
    <n v="220.113"/>
    <n v="147.80500000000001"/>
    <n v="95.131"/>
    <n v="70.215000000000003"/>
    <n v="59.31"/>
    <n v="171.245"/>
    <n v="101.25700000000001"/>
    <n v="92.337000000000003"/>
    <n v="206.81899999999999"/>
    <n v="138.43964800000001"/>
    <n v="135.9682"/>
    <n v="97.193635485274996"/>
    <n v="99.535883117097995"/>
    <n v="153.93096499999999"/>
    <n v="124.258852"/>
    <n v="0.712019333333333"/>
    <n v="12.889288000000001"/>
    <n v="124.258852"/>
  </r>
  <r>
    <x v="0"/>
    <n v="646394"/>
    <x v="1"/>
    <n v="0.28899999999999998"/>
    <n v="0.42433333333333301"/>
    <n v="0.477333333333333"/>
    <n v="0.58499999999999996"/>
    <n v="0.55599999999999905"/>
    <n v="0.484333333333333"/>
    <n v="0.53133333333333299"/>
    <n v="0.586666666666666"/>
    <n v="0.54199999999999904"/>
    <n v="0.51033333333333297"/>
    <n v="0.60366666666666602"/>
    <n v="0.49966666666666598"/>
    <n v="0.31733333333333302"/>
    <n v="0.58533333333333304"/>
    <n v="0.594318666666666"/>
    <n v="0.52424999999999999"/>
    <n v="0.51731222195433302"/>
    <n v="0.52264476288733297"/>
    <n v="0.61934500000000003"/>
    <n v="0.60817999999999905"/>
    <n v="7.9160000000000004"/>
    <n v="7.2610000000000001"/>
    <n v="7.88"/>
    <n v="7.992"/>
    <n v="7.7839999999999998"/>
    <n v="11.036"/>
    <n v="10.146000000000001"/>
    <n v="7.7809999999999997"/>
    <n v="7.6959999999999997"/>
    <n v="6.7080000000000002"/>
    <n v="8.5389999999999997"/>
    <n v="9.1329999999999991"/>
    <n v="7.4480000000000004"/>
    <n v="10.077"/>
    <n v="9.8142399999999999"/>
    <n v="9.7987599999999997"/>
    <n v="8.0861988840630001"/>
    <n v="8.3890143026379995"/>
    <n v="10.010425"/>
    <n v="9.7756480000000003"/>
    <n v="42.341999999999999"/>
    <n v="59.392000000000003"/>
    <n v="96.846000000000004"/>
    <n v="148.017"/>
    <n v="143.452"/>
    <n v="375.87299999999999"/>
    <n v="250.733"/>
    <n v="66.581999999999994"/>
    <n v="92.212000000000003"/>
    <n v="48.384"/>
    <n v="293.50599999999997"/>
    <n v="176.239"/>
    <n v="54.996000000000002"/>
    <n v="284.67899999999997"/>
    <n v="214.87943399999901"/>
    <n v="233.83702"/>
    <n v="141.36540101738899"/>
    <n v="149.609523198967"/>
    <n v="228.66630499999999"/>
    <n v="200.357516"/>
    <n v="0.52264476288733297"/>
    <n v="8.3890143026379995"/>
    <n v="149.609523198967"/>
  </r>
  <r>
    <x v="1"/>
    <n v="88634"/>
    <x v="1"/>
    <n v="0.28899999999999998"/>
    <n v="0.42433333333333301"/>
    <n v="0.477333333333333"/>
    <n v="0.58499999999999996"/>
    <n v="0.55599999999999905"/>
    <n v="0.484333333333333"/>
    <n v="0.53133333333333299"/>
    <n v="0.586666666666666"/>
    <n v="0.54199999999999904"/>
    <n v="0.51033333333333297"/>
    <n v="0.60366666666666602"/>
    <n v="0.49966666666666598"/>
    <n v="0.31733333333333302"/>
    <n v="0.58533333333333304"/>
    <n v="0.594318666666666"/>
    <n v="0.52424999999999999"/>
    <n v="0.51731222195433302"/>
    <n v="0.52264476288733297"/>
    <n v="0.61934500000000003"/>
    <n v="0.60817999999999905"/>
    <n v="7.9160000000000004"/>
    <n v="7.2610000000000001"/>
    <n v="7.88"/>
    <n v="7.992"/>
    <n v="7.7839999999999998"/>
    <n v="11.036"/>
    <n v="10.146000000000001"/>
    <n v="7.7809999999999997"/>
    <n v="7.6959999999999997"/>
    <n v="6.7080000000000002"/>
    <n v="8.5389999999999997"/>
    <n v="9.1329999999999991"/>
    <n v="7.4480000000000004"/>
    <n v="10.077"/>
    <n v="9.8142399999999999"/>
    <n v="9.7987599999999997"/>
    <n v="8.0861988840630001"/>
    <n v="8.3890143026379995"/>
    <n v="10.010425"/>
    <n v="9.7756480000000003"/>
    <n v="42.341999999999999"/>
    <n v="59.392000000000003"/>
    <n v="96.846000000000004"/>
    <n v="148.017"/>
    <n v="143.452"/>
    <n v="375.87299999999999"/>
    <n v="250.733"/>
    <n v="66.581999999999994"/>
    <n v="92.212000000000003"/>
    <n v="48.384"/>
    <n v="293.50599999999997"/>
    <n v="176.239"/>
    <n v="54.996000000000002"/>
    <n v="284.67899999999997"/>
    <n v="214.87943399999901"/>
    <n v="233.83702"/>
    <n v="141.36540101738899"/>
    <n v="149.609523198967"/>
    <n v="228.66630499999999"/>
    <n v="200.357516"/>
    <n v="0.594318666666666"/>
    <n v="9.8142399999999999"/>
    <n v="214.87943399999901"/>
  </r>
  <r>
    <x v="2"/>
    <n v="601359"/>
    <x v="1"/>
    <n v="0.28899999999999998"/>
    <n v="0.42433333333333301"/>
    <n v="0.477333333333333"/>
    <n v="0.58499999999999996"/>
    <n v="0.55599999999999905"/>
    <n v="0.484333333333333"/>
    <n v="0.53133333333333299"/>
    <n v="0.586666666666666"/>
    <n v="0.54199999999999904"/>
    <n v="0.51033333333333297"/>
    <n v="0.60366666666666602"/>
    <n v="0.49966666666666598"/>
    <n v="0.31733333333333302"/>
    <n v="0.58533333333333304"/>
    <n v="0.594318666666666"/>
    <n v="0.52424999999999999"/>
    <n v="0.51731222195433302"/>
    <n v="0.52264476288733297"/>
    <n v="0.61934500000000003"/>
    <n v="0.60817999999999905"/>
    <n v="7.9160000000000004"/>
    <n v="7.2610000000000001"/>
    <n v="7.88"/>
    <n v="7.992"/>
    <n v="7.7839999999999998"/>
    <n v="11.036"/>
    <n v="10.146000000000001"/>
    <n v="7.7809999999999997"/>
    <n v="7.6959999999999997"/>
    <n v="6.7080000000000002"/>
    <n v="8.5389999999999997"/>
    <n v="9.1329999999999991"/>
    <n v="7.4480000000000004"/>
    <n v="10.077"/>
    <n v="9.8142399999999999"/>
    <n v="9.7987599999999997"/>
    <n v="8.0861988840630001"/>
    <n v="8.3890143026379995"/>
    <n v="10.010425"/>
    <n v="9.7756480000000003"/>
    <n v="42.341999999999999"/>
    <n v="59.392000000000003"/>
    <n v="96.846000000000004"/>
    <n v="148.017"/>
    <n v="143.452"/>
    <n v="375.87299999999999"/>
    <n v="250.733"/>
    <n v="66.581999999999994"/>
    <n v="92.212000000000003"/>
    <n v="48.384"/>
    <n v="293.50599999999997"/>
    <n v="176.239"/>
    <n v="54.996000000000002"/>
    <n v="284.67899999999997"/>
    <n v="214.87943399999901"/>
    <n v="233.83702"/>
    <n v="141.36540101738899"/>
    <n v="149.609523198967"/>
    <n v="228.66630499999999"/>
    <n v="200.357516"/>
    <n v="0.51731222195433302"/>
    <n v="8.0861988840630001"/>
    <n v="141.36540101738899"/>
  </r>
  <r>
    <x v="3"/>
    <n v="148780"/>
    <x v="1"/>
    <n v="0.28899999999999998"/>
    <n v="0.42433333333333301"/>
    <n v="0.477333333333333"/>
    <n v="0.58499999999999996"/>
    <n v="0.55599999999999905"/>
    <n v="0.484333333333333"/>
    <n v="0.53133333333333299"/>
    <n v="0.586666666666666"/>
    <n v="0.54199999999999904"/>
    <n v="0.51033333333333297"/>
    <n v="0.60366666666666602"/>
    <n v="0.49966666666666598"/>
    <n v="0.31733333333333302"/>
    <n v="0.58533333333333304"/>
    <n v="0.594318666666666"/>
    <n v="0.52424999999999999"/>
    <n v="0.51731222195433302"/>
    <n v="0.52264476288733297"/>
    <n v="0.61934500000000003"/>
    <n v="0.60817999999999905"/>
    <n v="7.9160000000000004"/>
    <n v="7.2610000000000001"/>
    <n v="7.88"/>
    <n v="7.992"/>
    <n v="7.7839999999999998"/>
    <n v="11.036"/>
    <n v="10.146000000000001"/>
    <n v="7.7809999999999997"/>
    <n v="7.6959999999999997"/>
    <n v="6.7080000000000002"/>
    <n v="8.5389999999999997"/>
    <n v="9.1329999999999991"/>
    <n v="7.4480000000000004"/>
    <n v="10.077"/>
    <n v="9.8142399999999999"/>
    <n v="9.7987599999999997"/>
    <n v="8.0861988840630001"/>
    <n v="8.3890143026379995"/>
    <n v="10.010425"/>
    <n v="9.7756480000000003"/>
    <n v="42.341999999999999"/>
    <n v="59.392000000000003"/>
    <n v="96.846000000000004"/>
    <n v="148.017"/>
    <n v="143.452"/>
    <n v="375.87299999999999"/>
    <n v="250.733"/>
    <n v="66.581999999999994"/>
    <n v="92.212000000000003"/>
    <n v="48.384"/>
    <n v="293.50599999999997"/>
    <n v="176.239"/>
    <n v="54.996000000000002"/>
    <n v="284.67899999999997"/>
    <n v="214.87943399999901"/>
    <n v="233.83702"/>
    <n v="141.36540101738899"/>
    <n v="149.609523198967"/>
    <n v="228.66630499999999"/>
    <n v="200.357516"/>
    <n v="0.61934500000000003"/>
    <n v="10.010425"/>
    <n v="228.66630499999999"/>
  </r>
  <r>
    <x v="4"/>
    <n v="133009"/>
    <x v="1"/>
    <n v="0.28899999999999998"/>
    <n v="0.42433333333333301"/>
    <n v="0.477333333333333"/>
    <n v="0.58499999999999996"/>
    <n v="0.55599999999999905"/>
    <n v="0.484333333333333"/>
    <n v="0.53133333333333299"/>
    <n v="0.586666666666666"/>
    <n v="0.54199999999999904"/>
    <n v="0.51033333333333297"/>
    <n v="0.60366666666666602"/>
    <n v="0.49966666666666598"/>
    <n v="0.31733333333333302"/>
    <n v="0.58533333333333304"/>
    <n v="0.594318666666666"/>
    <n v="0.52424999999999999"/>
    <n v="0.51731222195433302"/>
    <n v="0.52264476288733297"/>
    <n v="0.61934500000000003"/>
    <n v="0.60817999999999905"/>
    <n v="7.9160000000000004"/>
    <n v="7.2610000000000001"/>
    <n v="7.88"/>
    <n v="7.992"/>
    <n v="7.7839999999999998"/>
    <n v="11.036"/>
    <n v="10.146000000000001"/>
    <n v="7.7809999999999997"/>
    <n v="7.6959999999999997"/>
    <n v="6.7080000000000002"/>
    <n v="8.5389999999999997"/>
    <n v="9.1329999999999991"/>
    <n v="7.4480000000000004"/>
    <n v="10.077"/>
    <n v="9.8142399999999999"/>
    <n v="9.7987599999999997"/>
    <n v="8.0861988840630001"/>
    <n v="8.3890143026379995"/>
    <n v="10.010425"/>
    <n v="9.7756480000000003"/>
    <n v="42.341999999999999"/>
    <n v="59.392000000000003"/>
    <n v="96.846000000000004"/>
    <n v="148.017"/>
    <n v="143.452"/>
    <n v="375.87299999999999"/>
    <n v="250.733"/>
    <n v="66.581999999999994"/>
    <n v="92.212000000000003"/>
    <n v="48.384"/>
    <n v="293.50599999999997"/>
    <n v="176.239"/>
    <n v="54.996000000000002"/>
    <n v="284.67899999999997"/>
    <n v="214.87943399999901"/>
    <n v="233.83702"/>
    <n v="141.36540101738899"/>
    <n v="149.609523198967"/>
    <n v="228.66630499999999"/>
    <n v="200.357516"/>
    <n v="0.60817999999999905"/>
    <n v="9.7756480000000003"/>
    <n v="200.357516"/>
  </r>
  <r>
    <x v="0"/>
    <n v="544825"/>
    <x v="2"/>
    <n v="0.173666666666666"/>
    <n v="0.26699999999999902"/>
    <n v="0.44233333333333302"/>
    <n v="0.25366666666666599"/>
    <n v="0.42566666666666603"/>
    <n v="0.57433333333333303"/>
    <n v="0.622"/>
    <n v="0.17433333333333301"/>
    <n v="0.33300000000000002"/>
    <n v="0.24966666666666601"/>
    <n v="0.668333333333333"/>
    <n v="0.544333333333333"/>
    <n v="0.22066666666666601"/>
    <n v="0.59366666666666601"/>
    <n v="0.56361333333333297"/>
    <n v="0.57980666666666603"/>
    <n v="0.38915481460099999"/>
    <n v="0.39533428653133301"/>
    <n v="0.57016166666666601"/>
    <n v="0.49452866666666601"/>
    <n v="8.6750000000000007"/>
    <n v="8.9269999999999996"/>
    <n v="10.023999999999999"/>
    <n v="9.31"/>
    <n v="10.045"/>
    <n v="13.826000000000001"/>
    <n v="12.73"/>
    <n v="9.0090000000000003"/>
    <n v="9.0890000000000004"/>
    <n v="8.6229999999999993"/>
    <n v="12.151999999999999"/>
    <n v="12.122999999999999"/>
    <n v="8.7070000000000007"/>
    <n v="10.516999999999999"/>
    <n v="12.566566"/>
    <n v="12.440379999999999"/>
    <n v="10.099026661030001"/>
    <n v="10.329417163374"/>
    <n v="12.548254999999999"/>
    <n v="12.222011999999999"/>
    <n v="69.888999999999996"/>
    <n v="121.444"/>
    <n v="164.636"/>
    <n v="185.35300000000001"/>
    <n v="228.2"/>
    <n v="544.35900000000004"/>
    <n v="373.291"/>
    <n v="80.179000000000002"/>
    <n v="92.465000000000003"/>
    <n v="34.963999999999999"/>
    <n v="375.29700000000003"/>
    <n v="219.00700000000001"/>
    <n v="98.259"/>
    <n v="324.166"/>
    <n v="299.48321600000003"/>
    <n v="334.15633000000003"/>
    <n v="203.36014988157299"/>
    <n v="213.047641875024"/>
    <n v="299.26623499999999"/>
    <n v="270.40022599999998"/>
    <n v="0.39533428653133301"/>
    <n v="10.329417163374"/>
    <n v="213.047641875024"/>
  </r>
  <r>
    <x v="1"/>
    <n v="80281"/>
    <x v="2"/>
    <n v="0.173666666666666"/>
    <n v="0.26699999999999902"/>
    <n v="0.44233333333333302"/>
    <n v="0.25366666666666599"/>
    <n v="0.42566666666666603"/>
    <n v="0.57433333333333303"/>
    <n v="0.622"/>
    <n v="0.17433333333333301"/>
    <n v="0.33300000000000002"/>
    <n v="0.24966666666666601"/>
    <n v="0.668333333333333"/>
    <n v="0.544333333333333"/>
    <n v="0.22066666666666601"/>
    <n v="0.59366666666666601"/>
    <n v="0.56361333333333297"/>
    <n v="0.57980666666666603"/>
    <n v="0.38915481460099999"/>
    <n v="0.39533428653133301"/>
    <n v="0.57016166666666601"/>
    <n v="0.49452866666666601"/>
    <n v="8.6750000000000007"/>
    <n v="8.9269999999999996"/>
    <n v="10.023999999999999"/>
    <n v="9.31"/>
    <n v="10.045"/>
    <n v="13.826000000000001"/>
    <n v="12.73"/>
    <n v="9.0090000000000003"/>
    <n v="9.0890000000000004"/>
    <n v="8.6229999999999993"/>
    <n v="12.151999999999999"/>
    <n v="12.122999999999999"/>
    <n v="8.7070000000000007"/>
    <n v="10.516999999999999"/>
    <n v="12.566566"/>
    <n v="12.440379999999999"/>
    <n v="10.099026661030001"/>
    <n v="10.329417163374"/>
    <n v="12.548254999999999"/>
    <n v="12.222011999999999"/>
    <n v="69.888999999999996"/>
    <n v="121.444"/>
    <n v="164.636"/>
    <n v="185.35300000000001"/>
    <n v="228.2"/>
    <n v="544.35900000000004"/>
    <n v="373.291"/>
    <n v="80.179000000000002"/>
    <n v="92.465000000000003"/>
    <n v="34.963999999999999"/>
    <n v="375.29700000000003"/>
    <n v="219.00700000000001"/>
    <n v="98.259"/>
    <n v="324.166"/>
    <n v="299.48321600000003"/>
    <n v="334.15633000000003"/>
    <n v="203.36014988157299"/>
    <n v="213.047641875024"/>
    <n v="299.26623499999999"/>
    <n v="270.40022599999998"/>
    <n v="0.56361333333333297"/>
    <n v="12.566566"/>
    <n v="299.48321600000003"/>
  </r>
  <r>
    <x v="2"/>
    <n v="426481"/>
    <x v="2"/>
    <n v="0.173666666666666"/>
    <n v="0.26699999999999902"/>
    <n v="0.44233333333333302"/>
    <n v="0.25366666666666599"/>
    <n v="0.42566666666666603"/>
    <n v="0.57433333333333303"/>
    <n v="0.622"/>
    <n v="0.17433333333333301"/>
    <n v="0.33300000000000002"/>
    <n v="0.24966666666666601"/>
    <n v="0.668333333333333"/>
    <n v="0.544333333333333"/>
    <n v="0.22066666666666601"/>
    <n v="0.59366666666666601"/>
    <n v="0.56361333333333297"/>
    <n v="0.57980666666666603"/>
    <n v="0.38915481460099999"/>
    <n v="0.39533428653133301"/>
    <n v="0.57016166666666601"/>
    <n v="0.49452866666666601"/>
    <n v="8.6750000000000007"/>
    <n v="8.9269999999999996"/>
    <n v="10.023999999999999"/>
    <n v="9.31"/>
    <n v="10.045"/>
    <n v="13.826000000000001"/>
    <n v="12.73"/>
    <n v="9.0090000000000003"/>
    <n v="9.0890000000000004"/>
    <n v="8.6229999999999993"/>
    <n v="12.151999999999999"/>
    <n v="12.122999999999999"/>
    <n v="8.7070000000000007"/>
    <n v="10.516999999999999"/>
    <n v="12.566566"/>
    <n v="12.440379999999999"/>
    <n v="10.099026661030001"/>
    <n v="10.329417163374"/>
    <n v="12.548254999999999"/>
    <n v="12.222011999999999"/>
    <n v="69.888999999999996"/>
    <n v="121.444"/>
    <n v="164.636"/>
    <n v="185.35300000000001"/>
    <n v="228.2"/>
    <n v="544.35900000000004"/>
    <n v="373.291"/>
    <n v="80.179000000000002"/>
    <n v="92.465000000000003"/>
    <n v="34.963999999999999"/>
    <n v="375.29700000000003"/>
    <n v="219.00700000000001"/>
    <n v="98.259"/>
    <n v="324.166"/>
    <n v="299.48321600000003"/>
    <n v="334.15633000000003"/>
    <n v="203.36014988157299"/>
    <n v="213.047641875024"/>
    <n v="299.26623499999999"/>
    <n v="270.40022599999998"/>
    <n v="0.38915481460099999"/>
    <n v="10.099026661030001"/>
    <n v="203.36014988157299"/>
  </r>
  <r>
    <x v="3"/>
    <n v="173702"/>
    <x v="2"/>
    <n v="0.173666666666666"/>
    <n v="0.26699999999999902"/>
    <n v="0.44233333333333302"/>
    <n v="0.25366666666666599"/>
    <n v="0.42566666666666603"/>
    <n v="0.57433333333333303"/>
    <n v="0.622"/>
    <n v="0.17433333333333301"/>
    <n v="0.33300000000000002"/>
    <n v="0.24966666666666601"/>
    <n v="0.668333333333333"/>
    <n v="0.544333333333333"/>
    <n v="0.22066666666666601"/>
    <n v="0.59366666666666601"/>
    <n v="0.56361333333333297"/>
    <n v="0.57980666666666603"/>
    <n v="0.38915481460099999"/>
    <n v="0.39533428653133301"/>
    <n v="0.57016166666666601"/>
    <n v="0.49452866666666601"/>
    <n v="8.6750000000000007"/>
    <n v="8.9269999999999996"/>
    <n v="10.023999999999999"/>
    <n v="9.31"/>
    <n v="10.045"/>
    <n v="13.826000000000001"/>
    <n v="12.73"/>
    <n v="9.0090000000000003"/>
    <n v="9.0890000000000004"/>
    <n v="8.6229999999999993"/>
    <n v="12.151999999999999"/>
    <n v="12.122999999999999"/>
    <n v="8.7070000000000007"/>
    <n v="10.516999999999999"/>
    <n v="12.566566"/>
    <n v="12.440379999999999"/>
    <n v="10.099026661030001"/>
    <n v="10.329417163374"/>
    <n v="12.548254999999999"/>
    <n v="12.222011999999999"/>
    <n v="69.888999999999996"/>
    <n v="121.444"/>
    <n v="164.636"/>
    <n v="185.35300000000001"/>
    <n v="228.2"/>
    <n v="544.35900000000004"/>
    <n v="373.291"/>
    <n v="80.179000000000002"/>
    <n v="92.465000000000003"/>
    <n v="34.963999999999999"/>
    <n v="375.29700000000003"/>
    <n v="219.00700000000001"/>
    <n v="98.259"/>
    <n v="324.166"/>
    <n v="299.48321600000003"/>
    <n v="334.15633000000003"/>
    <n v="203.36014988157299"/>
    <n v="213.047641875024"/>
    <n v="299.26623499999999"/>
    <n v="270.40022599999998"/>
    <n v="0.57016166666666601"/>
    <n v="12.548254999999999"/>
    <n v="299.26623499999999"/>
  </r>
  <r>
    <x v="4"/>
    <n v="118297"/>
    <x v="2"/>
    <n v="0.173666666666666"/>
    <n v="0.26699999999999902"/>
    <n v="0.44233333333333302"/>
    <n v="0.25366666666666599"/>
    <n v="0.42566666666666603"/>
    <n v="0.57433333333333303"/>
    <n v="0.622"/>
    <n v="0.17433333333333301"/>
    <n v="0.33300000000000002"/>
    <n v="0.24966666666666601"/>
    <n v="0.668333333333333"/>
    <n v="0.544333333333333"/>
    <n v="0.22066666666666601"/>
    <n v="0.59366666666666601"/>
    <n v="0.56361333333333297"/>
    <n v="0.57980666666666603"/>
    <n v="0.38915481460099999"/>
    <n v="0.39533428653133301"/>
    <n v="0.57016166666666601"/>
    <n v="0.49452866666666601"/>
    <n v="8.6750000000000007"/>
    <n v="8.9269999999999996"/>
    <n v="10.023999999999999"/>
    <n v="9.31"/>
    <n v="10.045"/>
    <n v="13.826000000000001"/>
    <n v="12.73"/>
    <n v="9.0090000000000003"/>
    <n v="9.0890000000000004"/>
    <n v="8.6229999999999993"/>
    <n v="12.151999999999999"/>
    <n v="12.122999999999999"/>
    <n v="8.7070000000000007"/>
    <n v="10.516999999999999"/>
    <n v="12.566566"/>
    <n v="12.440379999999999"/>
    <n v="10.099026661030001"/>
    <n v="10.329417163374"/>
    <n v="12.548254999999999"/>
    <n v="12.222011999999999"/>
    <n v="69.888999999999996"/>
    <n v="121.444"/>
    <n v="164.636"/>
    <n v="185.35300000000001"/>
    <n v="228.2"/>
    <n v="544.35900000000004"/>
    <n v="373.291"/>
    <n v="80.179000000000002"/>
    <n v="92.465000000000003"/>
    <n v="34.963999999999999"/>
    <n v="375.29700000000003"/>
    <n v="219.00700000000001"/>
    <n v="98.259"/>
    <n v="324.166"/>
    <n v="299.48321600000003"/>
    <n v="334.15633000000003"/>
    <n v="203.36014988157299"/>
    <n v="213.047641875024"/>
    <n v="299.26623499999999"/>
    <n v="270.40022599999998"/>
    <n v="0.49452866666666601"/>
    <n v="12.222011999999999"/>
    <n v="270.40022599999998"/>
  </r>
  <r>
    <x v="0"/>
    <n v="579067"/>
    <x v="3"/>
    <n v="0.32233333333333303"/>
    <n v="0.43966666666666598"/>
    <n v="0.43466666666666598"/>
    <n v="0.59733333333333305"/>
    <n v="0.50933333333333297"/>
    <n v="0.56999999999999995"/>
    <n v="0.67533333333333301"/>
    <n v="0.59133333333333304"/>
    <n v="0.57633333333333303"/>
    <n v="0.67933333333333301"/>
    <n v="0.62666666666666604"/>
    <n v="0.623"/>
    <n v="0.41799999999999998"/>
    <n v="0.59699999999999998"/>
    <n v="0.65295266666666596"/>
    <n v="0.64988333333333304"/>
    <n v="0.53549333302833302"/>
    <n v="0.55919571537466595"/>
    <n v="0.71102999999999905"/>
    <n v="0.66664199999999896"/>
    <n v="9.2360000000000007"/>
    <n v="8.4649999999999999"/>
    <n v="8.9269999999999996"/>
    <n v="9.8030000000000008"/>
    <n v="9.2910000000000004"/>
    <n v="11.532999999999999"/>
    <n v="10.048999999999999"/>
    <n v="10.026999999999999"/>
    <n v="9.9269999999999996"/>
    <n v="10.37"/>
    <n v="10.048999999999999"/>
    <n v="10.145"/>
    <n v="8.7230000000000008"/>
    <n v="10.513999999999999"/>
    <n v="11.055295999999901"/>
    <n v="10.142160000000001"/>
    <n v="9.4137011053799995"/>
    <n v="9.6435471628839995"/>
    <n v="11.591044999999999"/>
    <n v="11.267151999999999"/>
    <n v="37.853999999999999"/>
    <n v="39.890999999999998"/>
    <n v="67.813999999999993"/>
    <n v="145.97499999999999"/>
    <n v="121.988"/>
    <n v="318.93599999999998"/>
    <n v="232.02"/>
    <n v="43.234999999999999"/>
    <n v="122.044"/>
    <n v="33.012"/>
    <n v="222.75800000000001"/>
    <n v="191.43600000000001"/>
    <n v="45.878"/>
    <n v="192.72"/>
    <n v="184.99557999999999"/>
    <n v="221.59377000000001"/>
    <n v="122.57446103282599"/>
    <n v="133.94179313348999"/>
    <n v="184.80901499999999"/>
    <n v="180.12766399999899"/>
    <n v="0.55919571537466595"/>
    <n v="9.6435471628839995"/>
    <n v="133.94179313348999"/>
  </r>
  <r>
    <x v="1"/>
    <n v="44339"/>
    <x v="3"/>
    <n v="0.32233333333333303"/>
    <n v="0.43966666666666598"/>
    <n v="0.43466666666666598"/>
    <n v="0.59733333333333305"/>
    <n v="0.50933333333333297"/>
    <n v="0.56999999999999995"/>
    <n v="0.67533333333333301"/>
    <n v="0.59133333333333304"/>
    <n v="0.57633333333333303"/>
    <n v="0.67933333333333301"/>
    <n v="0.62666666666666604"/>
    <n v="0.623"/>
    <n v="0.41799999999999998"/>
    <n v="0.59699999999999998"/>
    <n v="0.65295266666666596"/>
    <n v="0.64988333333333304"/>
    <n v="0.53549333302833302"/>
    <n v="0.55919571537466595"/>
    <n v="0.71102999999999905"/>
    <n v="0.66664199999999896"/>
    <n v="9.2360000000000007"/>
    <n v="8.4649999999999999"/>
    <n v="8.9269999999999996"/>
    <n v="9.8030000000000008"/>
    <n v="9.2910000000000004"/>
    <n v="11.532999999999999"/>
    <n v="10.048999999999999"/>
    <n v="10.026999999999999"/>
    <n v="9.9269999999999996"/>
    <n v="10.37"/>
    <n v="10.048999999999999"/>
    <n v="10.145"/>
    <n v="8.7230000000000008"/>
    <n v="10.513999999999999"/>
    <n v="11.055295999999901"/>
    <n v="10.142160000000001"/>
    <n v="9.4137011053799995"/>
    <n v="9.6435471628839995"/>
    <n v="11.591044999999999"/>
    <n v="11.267151999999999"/>
    <n v="37.853999999999999"/>
    <n v="39.890999999999998"/>
    <n v="67.813999999999993"/>
    <n v="145.97499999999999"/>
    <n v="121.988"/>
    <n v="318.93599999999998"/>
    <n v="232.02"/>
    <n v="43.234999999999999"/>
    <n v="122.044"/>
    <n v="33.012"/>
    <n v="222.75800000000001"/>
    <n v="191.43600000000001"/>
    <n v="45.878"/>
    <n v="192.72"/>
    <n v="184.99557999999999"/>
    <n v="221.59377000000001"/>
    <n v="122.57446103282599"/>
    <n v="133.94179313348999"/>
    <n v="184.80901499999999"/>
    <n v="180.12766399999899"/>
    <n v="0.65295266666666596"/>
    <n v="11.055295999999901"/>
    <n v="184.99557999999999"/>
  </r>
  <r>
    <x v="2"/>
    <n v="441418"/>
    <x v="3"/>
    <n v="0.32233333333333303"/>
    <n v="0.43966666666666598"/>
    <n v="0.43466666666666598"/>
    <n v="0.59733333333333305"/>
    <n v="0.50933333333333297"/>
    <n v="0.56999999999999995"/>
    <n v="0.67533333333333301"/>
    <n v="0.59133333333333304"/>
    <n v="0.57633333333333303"/>
    <n v="0.67933333333333301"/>
    <n v="0.62666666666666604"/>
    <n v="0.623"/>
    <n v="0.41799999999999998"/>
    <n v="0.59699999999999998"/>
    <n v="0.65295266666666596"/>
    <n v="0.64988333333333304"/>
    <n v="0.53549333302833302"/>
    <n v="0.55919571537466595"/>
    <n v="0.71102999999999905"/>
    <n v="0.66664199999999896"/>
    <n v="9.2360000000000007"/>
    <n v="8.4649999999999999"/>
    <n v="8.9269999999999996"/>
    <n v="9.8030000000000008"/>
    <n v="9.2910000000000004"/>
    <n v="11.532999999999999"/>
    <n v="10.048999999999999"/>
    <n v="10.026999999999999"/>
    <n v="9.9269999999999996"/>
    <n v="10.37"/>
    <n v="10.048999999999999"/>
    <n v="10.145"/>
    <n v="8.7230000000000008"/>
    <n v="10.513999999999999"/>
    <n v="11.055295999999901"/>
    <n v="10.142160000000001"/>
    <n v="9.4137011053799995"/>
    <n v="9.6435471628839995"/>
    <n v="11.591044999999999"/>
    <n v="11.267151999999999"/>
    <n v="37.853999999999999"/>
    <n v="39.890999999999998"/>
    <n v="67.813999999999993"/>
    <n v="145.97499999999999"/>
    <n v="121.988"/>
    <n v="318.93599999999998"/>
    <n v="232.02"/>
    <n v="43.234999999999999"/>
    <n v="122.044"/>
    <n v="33.012"/>
    <n v="222.75800000000001"/>
    <n v="191.43600000000001"/>
    <n v="45.878"/>
    <n v="192.72"/>
    <n v="184.99557999999999"/>
    <n v="221.59377000000001"/>
    <n v="122.57446103282599"/>
    <n v="133.94179313348999"/>
    <n v="184.80901499999999"/>
    <n v="180.12766399999899"/>
    <n v="0.53549333302833302"/>
    <n v="9.4137011053799995"/>
    <n v="122.57446103282599"/>
  </r>
  <r>
    <x v="3"/>
    <n v="123519"/>
    <x v="3"/>
    <n v="0.32233333333333303"/>
    <n v="0.43966666666666598"/>
    <n v="0.43466666666666598"/>
    <n v="0.59733333333333305"/>
    <n v="0.50933333333333297"/>
    <n v="0.56999999999999995"/>
    <n v="0.67533333333333301"/>
    <n v="0.59133333333333304"/>
    <n v="0.57633333333333303"/>
    <n v="0.67933333333333301"/>
    <n v="0.62666666666666604"/>
    <n v="0.623"/>
    <n v="0.41799999999999998"/>
    <n v="0.59699999999999998"/>
    <n v="0.65295266666666596"/>
    <n v="0.64988333333333304"/>
    <n v="0.53549333302833302"/>
    <n v="0.55919571537466595"/>
    <n v="0.71102999999999905"/>
    <n v="0.66664199999999896"/>
    <n v="9.2360000000000007"/>
    <n v="8.4649999999999999"/>
    <n v="8.9269999999999996"/>
    <n v="9.8030000000000008"/>
    <n v="9.2910000000000004"/>
    <n v="11.532999999999999"/>
    <n v="10.048999999999999"/>
    <n v="10.026999999999999"/>
    <n v="9.9269999999999996"/>
    <n v="10.37"/>
    <n v="10.048999999999999"/>
    <n v="10.145"/>
    <n v="8.7230000000000008"/>
    <n v="10.513999999999999"/>
    <n v="11.055295999999901"/>
    <n v="10.142160000000001"/>
    <n v="9.4137011053799995"/>
    <n v="9.6435471628839995"/>
    <n v="11.591044999999999"/>
    <n v="11.267151999999999"/>
    <n v="37.853999999999999"/>
    <n v="39.890999999999998"/>
    <n v="67.813999999999993"/>
    <n v="145.97499999999999"/>
    <n v="121.988"/>
    <n v="318.93599999999998"/>
    <n v="232.02"/>
    <n v="43.234999999999999"/>
    <n v="122.044"/>
    <n v="33.012"/>
    <n v="222.75800000000001"/>
    <n v="191.43600000000001"/>
    <n v="45.878"/>
    <n v="192.72"/>
    <n v="184.99557999999999"/>
    <n v="221.59377000000001"/>
    <n v="122.57446103282599"/>
    <n v="133.94179313348999"/>
    <n v="184.80901499999999"/>
    <n v="180.12766399999899"/>
    <n v="0.71102999999999905"/>
    <n v="11.591044999999999"/>
    <n v="184.80901499999999"/>
  </r>
  <r>
    <x v="4"/>
    <n v="119574"/>
    <x v="3"/>
    <n v="0.32233333333333303"/>
    <n v="0.43966666666666598"/>
    <n v="0.43466666666666598"/>
    <n v="0.59733333333333305"/>
    <n v="0.50933333333333297"/>
    <n v="0.56999999999999995"/>
    <n v="0.67533333333333301"/>
    <n v="0.59133333333333304"/>
    <n v="0.57633333333333303"/>
    <n v="0.67933333333333301"/>
    <n v="0.62666666666666604"/>
    <n v="0.623"/>
    <n v="0.41799999999999998"/>
    <n v="0.59699999999999998"/>
    <n v="0.65295266666666596"/>
    <n v="0.64988333333333304"/>
    <n v="0.53549333302833302"/>
    <n v="0.55919571537466595"/>
    <n v="0.71102999999999905"/>
    <n v="0.66664199999999896"/>
    <n v="9.2360000000000007"/>
    <n v="8.4649999999999999"/>
    <n v="8.9269999999999996"/>
    <n v="9.8030000000000008"/>
    <n v="9.2910000000000004"/>
    <n v="11.532999999999999"/>
    <n v="10.048999999999999"/>
    <n v="10.026999999999999"/>
    <n v="9.9269999999999996"/>
    <n v="10.37"/>
    <n v="10.048999999999999"/>
    <n v="10.145"/>
    <n v="8.7230000000000008"/>
    <n v="10.513999999999999"/>
    <n v="11.055295999999901"/>
    <n v="10.142160000000001"/>
    <n v="9.4137011053799995"/>
    <n v="9.6435471628839995"/>
    <n v="11.591044999999999"/>
    <n v="11.267151999999999"/>
    <n v="37.853999999999999"/>
    <n v="39.890999999999998"/>
    <n v="67.813999999999993"/>
    <n v="145.97499999999999"/>
    <n v="121.988"/>
    <n v="318.93599999999998"/>
    <n v="232.02"/>
    <n v="43.234999999999999"/>
    <n v="122.044"/>
    <n v="33.012"/>
    <n v="222.75800000000001"/>
    <n v="191.43600000000001"/>
    <n v="45.878"/>
    <n v="192.72"/>
    <n v="184.99557999999999"/>
    <n v="221.59377000000001"/>
    <n v="122.57446103282599"/>
    <n v="133.94179313348999"/>
    <n v="184.80901499999999"/>
    <n v="180.12766399999899"/>
    <n v="0.66664199999999896"/>
    <n v="11.267151999999999"/>
    <n v="180.12766399999899"/>
  </r>
  <r>
    <x v="0"/>
    <n v="1014250"/>
    <x v="4"/>
    <n v="0.67066666666666597"/>
    <n v="0.72066666666666601"/>
    <n v="0.789333333333333"/>
    <n v="0.788333333333333"/>
    <n v="0.84566666666666601"/>
    <n v="0.84499999999999997"/>
    <n v="0.80066666666666597"/>
    <n v="0.76833333333333298"/>
    <n v="0.82133333333333303"/>
    <n v="0.745"/>
    <n v="0.76266666666666605"/>
    <n v="0.86933333333333296"/>
    <n v="0.75599999999999901"/>
    <n v="0.61"/>
    <n v="0.89478399999999902"/>
    <n v="0.81994666666666605"/>
    <n v="0.78937555514533297"/>
    <n v="0.79557666814533301"/>
    <n v="0.86521333333333295"/>
    <n v="0.907171333333333"/>
    <n v="11.888999999999999"/>
    <n v="11.651999999999999"/>
    <n v="12.84"/>
    <n v="12.69"/>
    <n v="13.456"/>
    <n v="14.340999999999999"/>
    <n v="13.627000000000001"/>
    <n v="12.702999999999999"/>
    <n v="13.672000000000001"/>
    <n v="13.038"/>
    <n v="13.952999999999999"/>
    <n v="14.000999999999999"/>
    <n v="12.206"/>
    <n v="13.109"/>
    <n v="15.1473"/>
    <n v="13.71804"/>
    <n v="12.929977770439001"/>
    <n v="13.086997169044"/>
    <n v="15.369590000000001"/>
    <n v="15.173870000000001"/>
    <n v="86.744"/>
    <n v="98.933000000000007"/>
    <n v="150.29300000000001"/>
    <n v="195.70500000000001"/>
    <n v="218.01300000000001"/>
    <n v="369.20400000000001"/>
    <n v="272.69400000000002"/>
    <n v="72.540999999999997"/>
    <n v="152.55599999999899"/>
    <n v="50.927999999999997"/>
    <n v="386.53500000000003"/>
    <n v="223.52799999999999"/>
    <n v="85.997999999999905"/>
    <n v="429.334"/>
    <n v="274.931106"/>
    <n v="262.93525"/>
    <n v="191.73890987902601"/>
    <n v="193.861183306924"/>
    <n v="291.49660499999999"/>
    <n v="257.89325600000001"/>
    <n v="0.79557666814533301"/>
    <n v="13.086997169044"/>
    <n v="193.861183306924"/>
  </r>
  <r>
    <x v="1"/>
    <n v="66132"/>
    <x v="4"/>
    <n v="0.67066666666666597"/>
    <n v="0.72066666666666601"/>
    <n v="0.789333333333333"/>
    <n v="0.788333333333333"/>
    <n v="0.84566666666666601"/>
    <n v="0.84499999999999997"/>
    <n v="0.80066666666666597"/>
    <n v="0.76833333333333298"/>
    <n v="0.82133333333333303"/>
    <n v="0.745"/>
    <n v="0.76266666666666605"/>
    <n v="0.86933333333333296"/>
    <n v="0.75599999999999901"/>
    <n v="0.61"/>
    <n v="0.89478399999999902"/>
    <n v="0.81994666666666605"/>
    <n v="0.78937555514533297"/>
    <n v="0.79557666814533301"/>
    <n v="0.86521333333333295"/>
    <n v="0.907171333333333"/>
    <n v="11.888999999999999"/>
    <n v="11.651999999999999"/>
    <n v="12.84"/>
    <n v="12.69"/>
    <n v="13.456"/>
    <n v="14.340999999999999"/>
    <n v="13.627000000000001"/>
    <n v="12.702999999999999"/>
    <n v="13.672000000000001"/>
    <n v="13.038"/>
    <n v="13.952999999999999"/>
    <n v="14.000999999999999"/>
    <n v="12.206"/>
    <n v="13.109"/>
    <n v="15.1473"/>
    <n v="13.71804"/>
    <n v="12.929977770439001"/>
    <n v="13.086997169044"/>
    <n v="15.369590000000001"/>
    <n v="15.173870000000001"/>
    <n v="86.744"/>
    <n v="98.933000000000007"/>
    <n v="150.29300000000001"/>
    <n v="195.70500000000001"/>
    <n v="218.01300000000001"/>
    <n v="369.20400000000001"/>
    <n v="272.69400000000002"/>
    <n v="72.540999999999997"/>
    <n v="152.55599999999899"/>
    <n v="50.927999999999997"/>
    <n v="386.53500000000003"/>
    <n v="223.52799999999999"/>
    <n v="85.997999999999905"/>
    <n v="429.334"/>
    <n v="274.931106"/>
    <n v="262.93525"/>
    <n v="191.73890987902601"/>
    <n v="193.861183306924"/>
    <n v="291.49660499999999"/>
    <n v="257.89325600000001"/>
    <n v="0.89478399999999902"/>
    <n v="15.1473"/>
    <n v="274.931106"/>
  </r>
  <r>
    <x v="2"/>
    <n v="675000"/>
    <x v="4"/>
    <n v="0.67066666666666597"/>
    <n v="0.72066666666666601"/>
    <n v="0.789333333333333"/>
    <n v="0.788333333333333"/>
    <n v="0.84566666666666601"/>
    <n v="0.84499999999999997"/>
    <n v="0.80066666666666597"/>
    <n v="0.76833333333333298"/>
    <n v="0.82133333333333303"/>
    <n v="0.745"/>
    <n v="0.76266666666666605"/>
    <n v="0.86933333333333296"/>
    <n v="0.75599999999999901"/>
    <n v="0.61"/>
    <n v="0.89478399999999902"/>
    <n v="0.81994666666666605"/>
    <n v="0.78937555514533297"/>
    <n v="0.79557666814533301"/>
    <n v="0.86521333333333295"/>
    <n v="0.907171333333333"/>
    <n v="11.888999999999999"/>
    <n v="11.651999999999999"/>
    <n v="12.84"/>
    <n v="12.69"/>
    <n v="13.456"/>
    <n v="14.340999999999999"/>
    <n v="13.627000000000001"/>
    <n v="12.702999999999999"/>
    <n v="13.672000000000001"/>
    <n v="13.038"/>
    <n v="13.952999999999999"/>
    <n v="14.000999999999999"/>
    <n v="12.206"/>
    <n v="13.109"/>
    <n v="15.1473"/>
    <n v="13.71804"/>
    <n v="12.929977770439001"/>
    <n v="13.086997169044"/>
    <n v="15.369590000000001"/>
    <n v="15.173870000000001"/>
    <n v="86.744"/>
    <n v="98.933000000000007"/>
    <n v="150.29300000000001"/>
    <n v="195.70500000000001"/>
    <n v="218.01300000000001"/>
    <n v="369.20400000000001"/>
    <n v="272.69400000000002"/>
    <n v="72.540999999999997"/>
    <n v="152.55599999999899"/>
    <n v="50.927999999999997"/>
    <n v="386.53500000000003"/>
    <n v="223.52799999999999"/>
    <n v="85.997999999999905"/>
    <n v="429.334"/>
    <n v="274.931106"/>
    <n v="262.93525"/>
    <n v="191.73890987902601"/>
    <n v="193.861183306924"/>
    <n v="291.49660499999999"/>
    <n v="257.89325600000001"/>
    <n v="0.78937555514533297"/>
    <n v="12.929977770439001"/>
    <n v="191.73890987902601"/>
  </r>
  <r>
    <x v="3"/>
    <n v="364000"/>
    <x v="4"/>
    <n v="0.67066666666666597"/>
    <n v="0.72066666666666601"/>
    <n v="0.789333333333333"/>
    <n v="0.788333333333333"/>
    <n v="0.84566666666666601"/>
    <n v="0.84499999999999997"/>
    <n v="0.80066666666666597"/>
    <n v="0.76833333333333298"/>
    <n v="0.82133333333333303"/>
    <n v="0.745"/>
    <n v="0.76266666666666605"/>
    <n v="0.86933333333333296"/>
    <n v="0.75599999999999901"/>
    <n v="0.61"/>
    <n v="0.89478399999999902"/>
    <n v="0.81994666666666605"/>
    <n v="0.78937555514533297"/>
    <n v="0.79557666814533301"/>
    <n v="0.86521333333333295"/>
    <n v="0.907171333333333"/>
    <n v="11.888999999999999"/>
    <n v="11.651999999999999"/>
    <n v="12.84"/>
    <n v="12.69"/>
    <n v="13.456"/>
    <n v="14.340999999999999"/>
    <n v="13.627000000000001"/>
    <n v="12.702999999999999"/>
    <n v="13.672000000000001"/>
    <n v="13.038"/>
    <n v="13.952999999999999"/>
    <n v="14.000999999999999"/>
    <n v="12.206"/>
    <n v="13.109"/>
    <n v="15.1473"/>
    <n v="13.71804"/>
    <n v="12.929977770439001"/>
    <n v="13.086997169044"/>
    <n v="15.369590000000001"/>
    <n v="15.173870000000001"/>
    <n v="86.744"/>
    <n v="98.933000000000007"/>
    <n v="150.29300000000001"/>
    <n v="195.70500000000001"/>
    <n v="218.01300000000001"/>
    <n v="369.20400000000001"/>
    <n v="272.69400000000002"/>
    <n v="72.540999999999997"/>
    <n v="152.55599999999899"/>
    <n v="50.927999999999997"/>
    <n v="386.53500000000003"/>
    <n v="223.52799999999999"/>
    <n v="85.997999999999905"/>
    <n v="429.334"/>
    <n v="274.931106"/>
    <n v="262.93525"/>
    <n v="191.73890987902601"/>
    <n v="193.861183306924"/>
    <n v="291.49660499999999"/>
    <n v="257.89325600000001"/>
    <n v="0.86521333333333295"/>
    <n v="15.369590000000001"/>
    <n v="291.49660499999999"/>
  </r>
  <r>
    <x v="4"/>
    <n v="147444"/>
    <x v="4"/>
    <n v="0.67066666666666597"/>
    <n v="0.72066666666666601"/>
    <n v="0.789333333333333"/>
    <n v="0.788333333333333"/>
    <n v="0.84566666666666601"/>
    <n v="0.84499999999999997"/>
    <n v="0.80066666666666597"/>
    <n v="0.76833333333333298"/>
    <n v="0.82133333333333303"/>
    <n v="0.745"/>
    <n v="0.76266666666666605"/>
    <n v="0.86933333333333296"/>
    <n v="0.75599999999999901"/>
    <n v="0.61"/>
    <n v="0.89478399999999902"/>
    <n v="0.81994666666666605"/>
    <n v="0.78937555514533297"/>
    <n v="0.79557666814533301"/>
    <n v="0.86521333333333295"/>
    <n v="0.907171333333333"/>
    <n v="11.888999999999999"/>
    <n v="11.651999999999999"/>
    <n v="12.84"/>
    <n v="12.69"/>
    <n v="13.456"/>
    <n v="14.340999999999999"/>
    <n v="13.627000000000001"/>
    <n v="12.702999999999999"/>
    <n v="13.672000000000001"/>
    <n v="13.038"/>
    <n v="13.952999999999999"/>
    <n v="14.000999999999999"/>
    <n v="12.206"/>
    <n v="13.109"/>
    <n v="15.1473"/>
    <n v="13.71804"/>
    <n v="12.929977770439001"/>
    <n v="13.086997169044"/>
    <n v="15.369590000000001"/>
    <n v="15.173870000000001"/>
    <n v="86.744"/>
    <n v="98.933000000000007"/>
    <n v="150.29300000000001"/>
    <n v="195.70500000000001"/>
    <n v="218.01300000000001"/>
    <n v="369.20400000000001"/>
    <n v="272.69400000000002"/>
    <n v="72.540999999999997"/>
    <n v="152.55599999999899"/>
    <n v="50.927999999999997"/>
    <n v="386.53500000000003"/>
    <n v="223.52799999999999"/>
    <n v="85.997999999999905"/>
    <n v="429.334"/>
    <n v="274.931106"/>
    <n v="262.93525"/>
    <n v="191.73890987902601"/>
    <n v="193.861183306924"/>
    <n v="291.49660499999999"/>
    <n v="257.89325600000001"/>
    <n v="0.907171333333333"/>
    <n v="15.173870000000001"/>
    <n v="257.89325600000001"/>
  </r>
  <r>
    <x v="0"/>
    <n v="1061540"/>
    <x v="5"/>
    <n v="0.32100000000000001"/>
    <n v="0.44766666666666599"/>
    <n v="0.43733333333333302"/>
    <n v="0.44666666666666599"/>
    <n v="0.47666666666666602"/>
    <n v="0.44933333333333297"/>
    <n v="0.46966666666666601"/>
    <n v="0.50866666666666605"/>
    <n v="0.56399999999999995"/>
    <n v="0.50533333333333297"/>
    <n v="0.50800000000000001"/>
    <n v="0.42766666666666597"/>
    <n v="0.41"/>
    <n v="0.45300000000000001"/>
    <n v="0.52637800000000001"/>
    <n v="0.45724999999999999"/>
    <n v="0.45371074048600002"/>
    <n v="0.45683857235666597"/>
    <n v="0.549688333333333"/>
    <n v="0.52522800000000003"/>
    <n v="10.452999999999999"/>
    <n v="11.329000000000001"/>
    <n v="11.321"/>
    <n v="12.202"/>
    <n v="12.423"/>
    <n v="11.523"/>
    <n v="13.433999999999999"/>
    <n v="11.295"/>
    <n v="11.246"/>
    <n v="10.625"/>
    <n v="13.952999999999999"/>
    <n v="11.972"/>
    <n v="10.798999999999999"/>
    <n v="12.592000000000001"/>
    <n v="14.096477999999999"/>
    <n v="12.887320000000001"/>
    <n v="12.025609993729001"/>
    <n v="12.085157166206001"/>
    <n v="14.331725"/>
    <n v="14.045868"/>
    <n v="94.745000000000005"/>
    <n v="56.186999999999998"/>
    <n v="102.931"/>
    <n v="105.735"/>
    <n v="133.86000000000001"/>
    <n v="240.16900000000001"/>
    <n v="151.678"/>
    <n v="43.064999999999998"/>
    <n v="116.538"/>
    <n v="20.277999999999999"/>
    <n v="267.76400000000001"/>
    <n v="130.34399999999999"/>
    <n v="75.938000000000002"/>
    <n v="324.36700000000002"/>
    <n v="175.75328399999901"/>
    <n v="150.33948999999899"/>
    <n v="118.686162133767"/>
    <n v="117.992684605728"/>
    <n v="191.74173999999999"/>
    <n v="160.60704799999999"/>
    <n v="0.45683857235666597"/>
    <n v="12.085157166206001"/>
    <n v="117.992684605728"/>
  </r>
  <r>
    <x v="1"/>
    <n v="78593"/>
    <x v="5"/>
    <n v="0.32100000000000001"/>
    <n v="0.44766666666666599"/>
    <n v="0.43733333333333302"/>
    <n v="0.44666666666666599"/>
    <n v="0.47666666666666602"/>
    <n v="0.44933333333333297"/>
    <n v="0.46966666666666601"/>
    <n v="0.50866666666666605"/>
    <n v="0.56399999999999995"/>
    <n v="0.50533333333333297"/>
    <n v="0.50800000000000001"/>
    <n v="0.42766666666666597"/>
    <n v="0.41"/>
    <n v="0.45300000000000001"/>
    <n v="0.52637800000000001"/>
    <n v="0.45724999999999999"/>
    <n v="0.45371074048600002"/>
    <n v="0.45683857235666597"/>
    <n v="0.549688333333333"/>
    <n v="0.52522800000000003"/>
    <n v="10.452999999999999"/>
    <n v="11.329000000000001"/>
    <n v="11.321"/>
    <n v="12.202"/>
    <n v="12.423"/>
    <n v="11.523"/>
    <n v="13.433999999999999"/>
    <n v="11.295"/>
    <n v="11.246"/>
    <n v="10.625"/>
    <n v="13.952999999999999"/>
    <n v="11.972"/>
    <n v="10.798999999999999"/>
    <n v="12.592000000000001"/>
    <n v="14.096477999999999"/>
    <n v="12.887320000000001"/>
    <n v="12.025609993729001"/>
    <n v="12.085157166206001"/>
    <n v="14.331725"/>
    <n v="14.045868"/>
    <n v="94.745000000000005"/>
    <n v="56.186999999999998"/>
    <n v="102.931"/>
    <n v="105.735"/>
    <n v="133.86000000000001"/>
    <n v="240.16900000000001"/>
    <n v="151.678"/>
    <n v="43.064999999999998"/>
    <n v="116.538"/>
    <n v="20.277999999999999"/>
    <n v="267.76400000000001"/>
    <n v="130.34399999999999"/>
    <n v="75.938000000000002"/>
    <n v="324.36700000000002"/>
    <n v="175.75328399999901"/>
    <n v="150.33948999999899"/>
    <n v="118.686162133767"/>
    <n v="117.992684605728"/>
    <n v="191.74173999999999"/>
    <n v="160.60704799999999"/>
    <n v="0.52637800000000001"/>
    <n v="14.096477999999999"/>
    <n v="175.75328399999901"/>
  </r>
  <r>
    <x v="2"/>
    <n v="600221"/>
    <x v="5"/>
    <n v="0.32100000000000001"/>
    <n v="0.44766666666666599"/>
    <n v="0.43733333333333302"/>
    <n v="0.44666666666666599"/>
    <n v="0.47666666666666602"/>
    <n v="0.44933333333333297"/>
    <n v="0.46966666666666601"/>
    <n v="0.50866666666666605"/>
    <n v="0.56399999999999995"/>
    <n v="0.50533333333333297"/>
    <n v="0.50800000000000001"/>
    <n v="0.42766666666666597"/>
    <n v="0.41"/>
    <n v="0.45300000000000001"/>
    <n v="0.52637800000000001"/>
    <n v="0.45724999999999999"/>
    <n v="0.45371074048600002"/>
    <n v="0.45683857235666597"/>
    <n v="0.549688333333333"/>
    <n v="0.52522800000000003"/>
    <n v="10.452999999999999"/>
    <n v="11.329000000000001"/>
    <n v="11.321"/>
    <n v="12.202"/>
    <n v="12.423"/>
    <n v="11.523"/>
    <n v="13.433999999999999"/>
    <n v="11.295"/>
    <n v="11.246"/>
    <n v="10.625"/>
    <n v="13.952999999999999"/>
    <n v="11.972"/>
    <n v="10.798999999999999"/>
    <n v="12.592000000000001"/>
    <n v="14.096477999999999"/>
    <n v="12.887320000000001"/>
    <n v="12.025609993729001"/>
    <n v="12.085157166206001"/>
    <n v="14.331725"/>
    <n v="14.045868"/>
    <n v="94.745000000000005"/>
    <n v="56.186999999999998"/>
    <n v="102.931"/>
    <n v="105.735"/>
    <n v="133.86000000000001"/>
    <n v="240.16900000000001"/>
    <n v="151.678"/>
    <n v="43.064999999999998"/>
    <n v="116.538"/>
    <n v="20.277999999999999"/>
    <n v="267.76400000000001"/>
    <n v="130.34399999999999"/>
    <n v="75.938000000000002"/>
    <n v="324.36700000000002"/>
    <n v="175.75328399999901"/>
    <n v="150.33948999999899"/>
    <n v="118.686162133767"/>
    <n v="117.992684605728"/>
    <n v="191.74173999999999"/>
    <n v="160.60704799999999"/>
    <n v="0.45371074048600002"/>
    <n v="12.025609993729001"/>
    <n v="118.686162133767"/>
  </r>
  <r>
    <x v="3"/>
    <n v="202293"/>
    <x v="5"/>
    <n v="0.32100000000000001"/>
    <n v="0.44766666666666599"/>
    <n v="0.43733333333333302"/>
    <n v="0.44666666666666599"/>
    <n v="0.47666666666666602"/>
    <n v="0.44933333333333297"/>
    <n v="0.46966666666666601"/>
    <n v="0.50866666666666605"/>
    <n v="0.56399999999999995"/>
    <n v="0.50533333333333297"/>
    <n v="0.50800000000000001"/>
    <n v="0.42766666666666597"/>
    <n v="0.41"/>
    <n v="0.45300000000000001"/>
    <n v="0.52637800000000001"/>
    <n v="0.45724999999999999"/>
    <n v="0.45371074048600002"/>
    <n v="0.45683857235666597"/>
    <n v="0.549688333333333"/>
    <n v="0.52522800000000003"/>
    <n v="10.452999999999999"/>
    <n v="11.329000000000001"/>
    <n v="11.321"/>
    <n v="12.202"/>
    <n v="12.423"/>
    <n v="11.523"/>
    <n v="13.433999999999999"/>
    <n v="11.295"/>
    <n v="11.246"/>
    <n v="10.625"/>
    <n v="13.952999999999999"/>
    <n v="11.972"/>
    <n v="10.798999999999999"/>
    <n v="12.592000000000001"/>
    <n v="14.096477999999999"/>
    <n v="12.887320000000001"/>
    <n v="12.025609993729001"/>
    <n v="12.085157166206001"/>
    <n v="14.331725"/>
    <n v="14.045868"/>
    <n v="94.745000000000005"/>
    <n v="56.186999999999998"/>
    <n v="102.931"/>
    <n v="105.735"/>
    <n v="133.86000000000001"/>
    <n v="240.16900000000001"/>
    <n v="151.678"/>
    <n v="43.064999999999998"/>
    <n v="116.538"/>
    <n v="20.277999999999999"/>
    <n v="267.76400000000001"/>
    <n v="130.34399999999999"/>
    <n v="75.938000000000002"/>
    <n v="324.36700000000002"/>
    <n v="175.75328399999901"/>
    <n v="150.33948999999899"/>
    <n v="118.686162133767"/>
    <n v="117.992684605728"/>
    <n v="191.74173999999999"/>
    <n v="160.60704799999999"/>
    <n v="0.549688333333333"/>
    <n v="14.331725"/>
    <n v="191.74173999999999"/>
  </r>
  <r>
    <x v="4"/>
    <n v="143750"/>
    <x v="5"/>
    <n v="0.32100000000000001"/>
    <n v="0.44766666666666599"/>
    <n v="0.43733333333333302"/>
    <n v="0.44666666666666599"/>
    <n v="0.47666666666666602"/>
    <n v="0.44933333333333297"/>
    <n v="0.46966666666666601"/>
    <n v="0.50866666666666605"/>
    <n v="0.56399999999999995"/>
    <n v="0.50533333333333297"/>
    <n v="0.50800000000000001"/>
    <n v="0.42766666666666597"/>
    <n v="0.41"/>
    <n v="0.45300000000000001"/>
    <n v="0.52637800000000001"/>
    <n v="0.45724999999999999"/>
    <n v="0.45371074048600002"/>
    <n v="0.45683857235666597"/>
    <n v="0.549688333333333"/>
    <n v="0.52522800000000003"/>
    <n v="10.452999999999999"/>
    <n v="11.329000000000001"/>
    <n v="11.321"/>
    <n v="12.202"/>
    <n v="12.423"/>
    <n v="11.523"/>
    <n v="13.433999999999999"/>
    <n v="11.295"/>
    <n v="11.246"/>
    <n v="10.625"/>
    <n v="13.952999999999999"/>
    <n v="11.972"/>
    <n v="10.798999999999999"/>
    <n v="12.592000000000001"/>
    <n v="14.096477999999999"/>
    <n v="12.887320000000001"/>
    <n v="12.025609993729001"/>
    <n v="12.085157166206001"/>
    <n v="14.331725"/>
    <n v="14.045868"/>
    <n v="94.745000000000005"/>
    <n v="56.186999999999998"/>
    <n v="102.931"/>
    <n v="105.735"/>
    <n v="133.86000000000001"/>
    <n v="240.16900000000001"/>
    <n v="151.678"/>
    <n v="43.064999999999998"/>
    <n v="116.538"/>
    <n v="20.277999999999999"/>
    <n v="267.76400000000001"/>
    <n v="130.34399999999999"/>
    <n v="75.938000000000002"/>
    <n v="324.36700000000002"/>
    <n v="175.75328399999901"/>
    <n v="150.33948999999899"/>
    <n v="118.686162133767"/>
    <n v="117.992684605728"/>
    <n v="191.74173999999999"/>
    <n v="160.60704799999999"/>
    <n v="0.52522800000000003"/>
    <n v="14.045868"/>
    <n v="160.60704799999999"/>
  </r>
  <r>
    <x v="0"/>
    <n v="887356"/>
    <x v="6"/>
    <n v="0.58933333333333304"/>
    <n v="0.43833333333333302"/>
    <n v="0.48099999999999998"/>
    <n v="0.54400000000000004"/>
    <n v="0.58133333333333304"/>
    <n v="0.59233333333333305"/>
    <n v="0.577666666666666"/>
    <n v="0.32066666666666599"/>
    <n v="0.47899999999999998"/>
    <n v="0.315"/>
    <n v="0.62633333333333296"/>
    <n v="0.52100000000000002"/>
    <n v="0.36733333333333301"/>
    <n v="0.61599999999999999"/>
    <n v="0.61539733333333302"/>
    <n v="0.56322000000000005"/>
    <n v="0.51127629600833302"/>
    <n v="0.51290666771133298"/>
    <n v="0.60327166666666598"/>
    <n v="0.61319400000000002"/>
    <n v="11.135"/>
    <n v="11.016"/>
    <n v="11.396000000000001"/>
    <n v="11.27"/>
    <n v="12.455"/>
    <n v="10.923"/>
    <n v="10.315"/>
    <n v="10.223000000000001"/>
    <n v="10.157"/>
    <n v="9.1760000000000002"/>
    <n v="11.746"/>
    <n v="9.8859999999999992"/>
    <n v="10.843"/>
    <n v="12.269"/>
    <n v="12.464224"/>
    <n v="10.32769"/>
    <n v="11.20355221626"/>
    <n v="11.052467164692001"/>
    <n v="12.43591"/>
    <n v="12.552067999999901"/>
    <n v="78.429000000000002"/>
    <n v="122.84399999999999"/>
    <n v="117.28400000000001"/>
    <n v="151.75200000000001"/>
    <n v="145.328"/>
    <n v="260.77999999999997"/>
    <n v="218.84200000000001"/>
    <n v="76.736000000000004"/>
    <n v="128.554"/>
    <n v="68.534999999999997"/>
    <n v="258.43599999999998"/>
    <n v="173.75700000000001"/>
    <n v="101.706"/>
    <n v="248.57499999999999"/>
    <n v="203.97608199999999"/>
    <n v="206.39332999999999"/>
    <n v="149.31866102390299"/>
    <n v="151.38125176175799"/>
    <n v="212.47529"/>
    <n v="194.72721799999999"/>
    <n v="0.51290666771133298"/>
    <n v="11.052467164692001"/>
    <n v="151.38125176175799"/>
  </r>
  <r>
    <x v="1"/>
    <n v="108546"/>
    <x v="6"/>
    <n v="0.58933333333333304"/>
    <n v="0.43833333333333302"/>
    <n v="0.48099999999999998"/>
    <n v="0.54400000000000004"/>
    <n v="0.58133333333333304"/>
    <n v="0.59233333333333305"/>
    <n v="0.577666666666666"/>
    <n v="0.32066666666666599"/>
    <n v="0.47899999999999998"/>
    <n v="0.315"/>
    <n v="0.62633333333333296"/>
    <n v="0.52100000000000002"/>
    <n v="0.36733333333333301"/>
    <n v="0.61599999999999999"/>
    <n v="0.61539733333333302"/>
    <n v="0.56322000000000005"/>
    <n v="0.51127629600833302"/>
    <n v="0.51290666771133298"/>
    <n v="0.60327166666666598"/>
    <n v="0.61319400000000002"/>
    <n v="11.135"/>
    <n v="11.016"/>
    <n v="11.396000000000001"/>
    <n v="11.27"/>
    <n v="12.455"/>
    <n v="10.923"/>
    <n v="10.315"/>
    <n v="10.223000000000001"/>
    <n v="10.157"/>
    <n v="9.1760000000000002"/>
    <n v="11.746"/>
    <n v="9.8859999999999992"/>
    <n v="10.843"/>
    <n v="12.269"/>
    <n v="12.464224"/>
    <n v="10.32769"/>
    <n v="11.20355221626"/>
    <n v="11.052467164692001"/>
    <n v="12.43591"/>
    <n v="12.552067999999901"/>
    <n v="78.429000000000002"/>
    <n v="122.84399999999999"/>
    <n v="117.28400000000001"/>
    <n v="151.75200000000001"/>
    <n v="145.328"/>
    <n v="260.77999999999997"/>
    <n v="218.84200000000001"/>
    <n v="76.736000000000004"/>
    <n v="128.554"/>
    <n v="68.534999999999997"/>
    <n v="258.43599999999998"/>
    <n v="173.75700000000001"/>
    <n v="101.706"/>
    <n v="248.57499999999999"/>
    <n v="203.97608199999999"/>
    <n v="206.39332999999999"/>
    <n v="149.31866102390299"/>
    <n v="151.38125176175799"/>
    <n v="212.47529"/>
    <n v="194.72721799999999"/>
    <n v="0.61539733333333302"/>
    <n v="12.464224"/>
    <n v="203.97608199999999"/>
  </r>
  <r>
    <x v="2"/>
    <n v="556655"/>
    <x v="6"/>
    <n v="0.58933333333333304"/>
    <n v="0.43833333333333302"/>
    <n v="0.48099999999999998"/>
    <n v="0.54400000000000004"/>
    <n v="0.58133333333333304"/>
    <n v="0.59233333333333305"/>
    <n v="0.577666666666666"/>
    <n v="0.32066666666666599"/>
    <n v="0.47899999999999998"/>
    <n v="0.315"/>
    <n v="0.62633333333333296"/>
    <n v="0.52100000000000002"/>
    <n v="0.36733333333333301"/>
    <n v="0.61599999999999999"/>
    <n v="0.61539733333333302"/>
    <n v="0.56322000000000005"/>
    <n v="0.51127629600833302"/>
    <n v="0.51290666771133298"/>
    <n v="0.60327166666666598"/>
    <n v="0.61319400000000002"/>
    <n v="11.135"/>
    <n v="11.016"/>
    <n v="11.396000000000001"/>
    <n v="11.27"/>
    <n v="12.455"/>
    <n v="10.923"/>
    <n v="10.315"/>
    <n v="10.223000000000001"/>
    <n v="10.157"/>
    <n v="9.1760000000000002"/>
    <n v="11.746"/>
    <n v="9.8859999999999992"/>
    <n v="10.843"/>
    <n v="12.269"/>
    <n v="12.464224"/>
    <n v="10.32769"/>
    <n v="11.20355221626"/>
    <n v="11.052467164692001"/>
    <n v="12.43591"/>
    <n v="12.552067999999901"/>
    <n v="78.429000000000002"/>
    <n v="122.84399999999999"/>
    <n v="117.28400000000001"/>
    <n v="151.75200000000001"/>
    <n v="145.328"/>
    <n v="260.77999999999997"/>
    <n v="218.84200000000001"/>
    <n v="76.736000000000004"/>
    <n v="128.554"/>
    <n v="68.534999999999997"/>
    <n v="258.43599999999998"/>
    <n v="173.75700000000001"/>
    <n v="101.706"/>
    <n v="248.57499999999999"/>
    <n v="203.97608199999999"/>
    <n v="206.39332999999999"/>
    <n v="149.31866102390299"/>
    <n v="151.38125176175799"/>
    <n v="212.47529"/>
    <n v="194.72721799999999"/>
    <n v="0.51127629600833302"/>
    <n v="11.20355221626"/>
    <n v="149.31866102390299"/>
  </r>
  <r>
    <x v="3"/>
    <n v="206989"/>
    <x v="6"/>
    <n v="0.58933333333333304"/>
    <n v="0.43833333333333302"/>
    <n v="0.48099999999999998"/>
    <n v="0.54400000000000004"/>
    <n v="0.58133333333333304"/>
    <n v="0.59233333333333305"/>
    <n v="0.577666666666666"/>
    <n v="0.32066666666666599"/>
    <n v="0.47899999999999998"/>
    <n v="0.315"/>
    <n v="0.62633333333333296"/>
    <n v="0.52100000000000002"/>
    <n v="0.36733333333333301"/>
    <n v="0.61599999999999999"/>
    <n v="0.61539733333333302"/>
    <n v="0.56322000000000005"/>
    <n v="0.51127629600833302"/>
    <n v="0.51290666771133298"/>
    <n v="0.60327166666666598"/>
    <n v="0.61319400000000002"/>
    <n v="11.135"/>
    <n v="11.016"/>
    <n v="11.396000000000001"/>
    <n v="11.27"/>
    <n v="12.455"/>
    <n v="10.923"/>
    <n v="10.315"/>
    <n v="10.223000000000001"/>
    <n v="10.157"/>
    <n v="9.1760000000000002"/>
    <n v="11.746"/>
    <n v="9.8859999999999992"/>
    <n v="10.843"/>
    <n v="12.269"/>
    <n v="12.464224"/>
    <n v="10.32769"/>
    <n v="11.20355221626"/>
    <n v="11.052467164692001"/>
    <n v="12.43591"/>
    <n v="12.552067999999901"/>
    <n v="78.429000000000002"/>
    <n v="122.84399999999999"/>
    <n v="117.28400000000001"/>
    <n v="151.75200000000001"/>
    <n v="145.328"/>
    <n v="260.77999999999997"/>
    <n v="218.84200000000001"/>
    <n v="76.736000000000004"/>
    <n v="128.554"/>
    <n v="68.534999999999997"/>
    <n v="258.43599999999998"/>
    <n v="173.75700000000001"/>
    <n v="101.706"/>
    <n v="248.57499999999999"/>
    <n v="203.97608199999999"/>
    <n v="206.39332999999999"/>
    <n v="149.31866102390299"/>
    <n v="151.38125176175799"/>
    <n v="212.47529"/>
    <n v="194.72721799999999"/>
    <n v="0.60327166666666598"/>
    <n v="12.43591"/>
    <n v="212.47529"/>
  </r>
  <r>
    <x v="4"/>
    <n v="149649"/>
    <x v="6"/>
    <n v="0.58933333333333304"/>
    <n v="0.43833333333333302"/>
    <n v="0.48099999999999998"/>
    <n v="0.54400000000000004"/>
    <n v="0.58133333333333304"/>
    <n v="0.59233333333333305"/>
    <n v="0.577666666666666"/>
    <n v="0.32066666666666599"/>
    <n v="0.47899999999999998"/>
    <n v="0.315"/>
    <n v="0.62633333333333296"/>
    <n v="0.52100000000000002"/>
    <n v="0.36733333333333301"/>
    <n v="0.61599999999999999"/>
    <n v="0.61539733333333302"/>
    <n v="0.56322000000000005"/>
    <n v="0.51127629600833302"/>
    <n v="0.51290666771133298"/>
    <n v="0.60327166666666598"/>
    <n v="0.61319400000000002"/>
    <n v="11.135"/>
    <n v="11.016"/>
    <n v="11.396000000000001"/>
    <n v="11.27"/>
    <n v="12.455"/>
    <n v="10.923"/>
    <n v="10.315"/>
    <n v="10.223000000000001"/>
    <n v="10.157"/>
    <n v="9.1760000000000002"/>
    <n v="11.746"/>
    <n v="9.8859999999999992"/>
    <n v="10.843"/>
    <n v="12.269"/>
    <n v="12.464224"/>
    <n v="10.32769"/>
    <n v="11.20355221626"/>
    <n v="11.052467164692001"/>
    <n v="12.43591"/>
    <n v="12.552067999999901"/>
    <n v="78.429000000000002"/>
    <n v="122.84399999999999"/>
    <n v="117.28400000000001"/>
    <n v="151.75200000000001"/>
    <n v="145.328"/>
    <n v="260.77999999999997"/>
    <n v="218.84200000000001"/>
    <n v="76.736000000000004"/>
    <n v="128.554"/>
    <n v="68.534999999999997"/>
    <n v="258.43599999999998"/>
    <n v="173.75700000000001"/>
    <n v="101.706"/>
    <n v="248.57499999999999"/>
    <n v="203.97608199999999"/>
    <n v="206.39332999999999"/>
    <n v="149.31866102390299"/>
    <n v="151.38125176175799"/>
    <n v="212.47529"/>
    <n v="194.72721799999999"/>
    <n v="0.61319400000000002"/>
    <n v="12.552067999999901"/>
    <n v="194.72721799999999"/>
  </r>
  <r>
    <x v="0"/>
    <n v="260723"/>
    <x v="7"/>
    <n v="0.199333333333333"/>
    <n v="0.26133333333333297"/>
    <n v="0.188999999999999"/>
    <n v="0.214"/>
    <n v="0.153"/>
    <n v="0.18566666666666601"/>
    <n v="0.24133333333333301"/>
    <n v="0.27800000000000002"/>
    <n v="0.30233333333333301"/>
    <n v="0.29499999999999998"/>
    <n v="0.32700000000000001"/>
    <n v="0.13366666666666599"/>
    <n v="0.24433333333333301"/>
    <n v="0.337666666666666"/>
    <n v="0.26151200000000002"/>
    <n v="0.209683333333333"/>
    <n v="0.214413333186666"/>
    <n v="0.214314762449999"/>
    <n v="0.31985333333333299"/>
    <n v="0.25643933333333302"/>
    <n v="10.215999999999999"/>
    <n v="7.7110000000000003"/>
    <n v="7.9390000000000001"/>
    <n v="6.5810000000000004"/>
    <n v="7.3449999999999998"/>
    <n v="8.4849999999999994"/>
    <n v="7.1020000000000003"/>
    <n v="8.0530000000000008"/>
    <n v="7.0049999999999999"/>
    <n v="8.48"/>
    <n v="9.6219999999999999"/>
    <n v="7.6020000000000003"/>
    <n v="9.3740000000000006"/>
    <n v="10.337"/>
    <n v="9.122204"/>
    <n v="7.3115600000000001"/>
    <n v="7.6536999950529996"/>
    <n v="7.5935628748159996"/>
    <n v="9.8503349999999994"/>
    <n v="8.9211100000000005"/>
    <n v="57.061"/>
    <n v="116.798"/>
    <n v="138.965"/>
    <n v="157.55799999999999"/>
    <n v="155.52000000000001"/>
    <n v="231.03700000000001"/>
    <n v="131.352"/>
    <n v="118.905"/>
    <n v="98.852000000000004"/>
    <n v="104.869"/>
    <n v="159.93899999999999"/>
    <n v="126.01300000000001"/>
    <n v="107.488"/>
    <n v="145.739"/>
    <n v="156.69888399999999"/>
    <n v="137.83619999999999"/>
    <n v="140.427847706938"/>
    <n v="138.61101311837001"/>
    <n v="154.54413499999899"/>
    <n v="160.29906399999999"/>
    <n v="0.214314762449999"/>
    <n v="7.5935628748159996"/>
    <n v="138.61101311837001"/>
  </r>
  <r>
    <x v="1"/>
    <n v="80372"/>
    <x v="7"/>
    <n v="0.199333333333333"/>
    <n v="0.26133333333333297"/>
    <n v="0.188999999999999"/>
    <n v="0.214"/>
    <n v="0.153"/>
    <n v="0.18566666666666601"/>
    <n v="0.24133333333333301"/>
    <n v="0.27800000000000002"/>
    <n v="0.30233333333333301"/>
    <n v="0.29499999999999998"/>
    <n v="0.32700000000000001"/>
    <n v="0.13366666666666599"/>
    <n v="0.24433333333333301"/>
    <n v="0.337666666666666"/>
    <n v="0.26151200000000002"/>
    <n v="0.209683333333333"/>
    <n v="0.214413333186666"/>
    <n v="0.214314762449999"/>
    <n v="0.31985333333333299"/>
    <n v="0.25643933333333302"/>
    <n v="10.215999999999999"/>
    <n v="7.7110000000000003"/>
    <n v="7.9390000000000001"/>
    <n v="6.5810000000000004"/>
    <n v="7.3449999999999998"/>
    <n v="8.4849999999999994"/>
    <n v="7.1020000000000003"/>
    <n v="8.0530000000000008"/>
    <n v="7.0049999999999999"/>
    <n v="8.48"/>
    <n v="9.6219999999999999"/>
    <n v="7.6020000000000003"/>
    <n v="9.3740000000000006"/>
    <n v="10.337"/>
    <n v="9.122204"/>
    <n v="7.3115600000000001"/>
    <n v="7.6536999950529996"/>
    <n v="7.5935628748159996"/>
    <n v="9.8503349999999994"/>
    <n v="8.9211100000000005"/>
    <n v="57.061"/>
    <n v="116.798"/>
    <n v="138.965"/>
    <n v="157.55799999999999"/>
    <n v="155.52000000000001"/>
    <n v="231.03700000000001"/>
    <n v="131.352"/>
    <n v="118.905"/>
    <n v="98.852000000000004"/>
    <n v="104.869"/>
    <n v="159.93899999999999"/>
    <n v="126.01300000000001"/>
    <n v="107.488"/>
    <n v="145.739"/>
    <n v="156.69888399999999"/>
    <n v="137.83619999999999"/>
    <n v="140.427847706938"/>
    <n v="138.61101311837001"/>
    <n v="154.54413499999899"/>
    <n v="160.29906399999999"/>
    <n v="0.26151200000000002"/>
    <n v="9.122204"/>
    <n v="156.69888399999999"/>
  </r>
  <r>
    <x v="2"/>
    <n v="414820"/>
    <x v="7"/>
    <n v="0.199333333333333"/>
    <n v="0.26133333333333297"/>
    <n v="0.188999999999999"/>
    <n v="0.214"/>
    <n v="0.153"/>
    <n v="0.18566666666666601"/>
    <n v="0.24133333333333301"/>
    <n v="0.27800000000000002"/>
    <n v="0.30233333333333301"/>
    <n v="0.29499999999999998"/>
    <n v="0.32700000000000001"/>
    <n v="0.13366666666666599"/>
    <n v="0.24433333333333301"/>
    <n v="0.337666666666666"/>
    <n v="0.26151200000000002"/>
    <n v="0.209683333333333"/>
    <n v="0.214413333186666"/>
    <n v="0.214314762449999"/>
    <n v="0.31985333333333299"/>
    <n v="0.25643933333333302"/>
    <n v="10.215999999999999"/>
    <n v="7.7110000000000003"/>
    <n v="7.9390000000000001"/>
    <n v="6.5810000000000004"/>
    <n v="7.3449999999999998"/>
    <n v="8.4849999999999994"/>
    <n v="7.1020000000000003"/>
    <n v="8.0530000000000008"/>
    <n v="7.0049999999999999"/>
    <n v="8.48"/>
    <n v="9.6219999999999999"/>
    <n v="7.6020000000000003"/>
    <n v="9.3740000000000006"/>
    <n v="10.337"/>
    <n v="9.122204"/>
    <n v="7.3115600000000001"/>
    <n v="7.6536999950529996"/>
    <n v="7.5935628748159996"/>
    <n v="9.8503349999999994"/>
    <n v="8.9211100000000005"/>
    <n v="57.061"/>
    <n v="116.798"/>
    <n v="138.965"/>
    <n v="157.55799999999999"/>
    <n v="155.52000000000001"/>
    <n v="231.03700000000001"/>
    <n v="131.352"/>
    <n v="118.905"/>
    <n v="98.852000000000004"/>
    <n v="104.869"/>
    <n v="159.93899999999999"/>
    <n v="126.01300000000001"/>
    <n v="107.488"/>
    <n v="145.739"/>
    <n v="156.69888399999999"/>
    <n v="137.83619999999999"/>
    <n v="140.427847706938"/>
    <n v="138.61101311837001"/>
    <n v="154.54413499999899"/>
    <n v="160.29906399999999"/>
    <n v="0.214413333186666"/>
    <n v="7.6536999950529996"/>
    <n v="140.427847706938"/>
  </r>
  <r>
    <x v="3"/>
    <n v="172395"/>
    <x v="7"/>
    <n v="0.199333333333333"/>
    <n v="0.26133333333333297"/>
    <n v="0.188999999999999"/>
    <n v="0.214"/>
    <n v="0.153"/>
    <n v="0.18566666666666601"/>
    <n v="0.24133333333333301"/>
    <n v="0.27800000000000002"/>
    <n v="0.30233333333333301"/>
    <n v="0.29499999999999998"/>
    <n v="0.32700000000000001"/>
    <n v="0.13366666666666599"/>
    <n v="0.24433333333333301"/>
    <n v="0.337666666666666"/>
    <n v="0.26151200000000002"/>
    <n v="0.209683333333333"/>
    <n v="0.214413333186666"/>
    <n v="0.214314762449999"/>
    <n v="0.31985333333333299"/>
    <n v="0.25643933333333302"/>
    <n v="10.215999999999999"/>
    <n v="7.7110000000000003"/>
    <n v="7.9390000000000001"/>
    <n v="6.5810000000000004"/>
    <n v="7.3449999999999998"/>
    <n v="8.4849999999999994"/>
    <n v="7.1020000000000003"/>
    <n v="8.0530000000000008"/>
    <n v="7.0049999999999999"/>
    <n v="8.48"/>
    <n v="9.6219999999999999"/>
    <n v="7.6020000000000003"/>
    <n v="9.3740000000000006"/>
    <n v="10.337"/>
    <n v="9.122204"/>
    <n v="7.3115600000000001"/>
    <n v="7.6536999950529996"/>
    <n v="7.5935628748159996"/>
    <n v="9.8503349999999994"/>
    <n v="8.9211100000000005"/>
    <n v="57.061"/>
    <n v="116.798"/>
    <n v="138.965"/>
    <n v="157.55799999999999"/>
    <n v="155.52000000000001"/>
    <n v="231.03700000000001"/>
    <n v="131.352"/>
    <n v="118.905"/>
    <n v="98.852000000000004"/>
    <n v="104.869"/>
    <n v="159.93899999999999"/>
    <n v="126.01300000000001"/>
    <n v="107.488"/>
    <n v="145.739"/>
    <n v="156.69888399999999"/>
    <n v="137.83619999999999"/>
    <n v="140.427847706938"/>
    <n v="138.61101311837001"/>
    <n v="154.54413499999899"/>
    <n v="160.29906399999999"/>
    <n v="0.31985333333333299"/>
    <n v="9.8503349999999994"/>
    <n v="154.54413499999899"/>
  </r>
  <r>
    <x v="4"/>
    <n v="116929"/>
    <x v="7"/>
    <n v="0.199333333333333"/>
    <n v="0.26133333333333297"/>
    <n v="0.188999999999999"/>
    <n v="0.214"/>
    <n v="0.153"/>
    <n v="0.18566666666666601"/>
    <n v="0.24133333333333301"/>
    <n v="0.27800000000000002"/>
    <n v="0.30233333333333301"/>
    <n v="0.29499999999999998"/>
    <n v="0.32700000000000001"/>
    <n v="0.13366666666666599"/>
    <n v="0.24433333333333301"/>
    <n v="0.337666666666666"/>
    <n v="0.26151200000000002"/>
    <n v="0.209683333333333"/>
    <n v="0.214413333186666"/>
    <n v="0.214314762449999"/>
    <n v="0.31985333333333299"/>
    <n v="0.25643933333333302"/>
    <n v="10.215999999999999"/>
    <n v="7.7110000000000003"/>
    <n v="7.9390000000000001"/>
    <n v="6.5810000000000004"/>
    <n v="7.3449999999999998"/>
    <n v="8.4849999999999994"/>
    <n v="7.1020000000000003"/>
    <n v="8.0530000000000008"/>
    <n v="7.0049999999999999"/>
    <n v="8.48"/>
    <n v="9.6219999999999999"/>
    <n v="7.6020000000000003"/>
    <n v="9.3740000000000006"/>
    <n v="10.337"/>
    <n v="9.122204"/>
    <n v="7.3115600000000001"/>
    <n v="7.6536999950529996"/>
    <n v="7.5935628748159996"/>
    <n v="9.8503349999999994"/>
    <n v="8.9211100000000005"/>
    <n v="57.061"/>
    <n v="116.798"/>
    <n v="138.965"/>
    <n v="157.55799999999999"/>
    <n v="155.52000000000001"/>
    <n v="231.03700000000001"/>
    <n v="131.352"/>
    <n v="118.905"/>
    <n v="98.852000000000004"/>
    <n v="104.869"/>
    <n v="159.93899999999999"/>
    <n v="126.01300000000001"/>
    <n v="107.488"/>
    <n v="145.739"/>
    <n v="156.69888399999999"/>
    <n v="137.83619999999999"/>
    <n v="140.427847706938"/>
    <n v="138.61101311837001"/>
    <n v="154.54413499999899"/>
    <n v="160.29906399999999"/>
    <n v="0.25643933333333302"/>
    <n v="8.9211100000000005"/>
    <n v="160.29906399999999"/>
  </r>
  <r>
    <x v="0"/>
    <n v="440709"/>
    <x v="8"/>
    <n v="0.39533333333333298"/>
    <n v="0.49066666666666597"/>
    <n v="0.49299999999999999"/>
    <n v="0.47033333333333299"/>
    <n v="0.43866666666666598"/>
    <n v="0.40233333333333299"/>
    <n v="0.42566666666666603"/>
    <n v="0.46966666666666601"/>
    <n v="0.43833333333333302"/>
    <n v="0.49833333333333302"/>
    <n v="0.473333333333333"/>
    <n v="0.49966666666666598"/>
    <n v="0.40666666666666601"/>
    <n v="0.45033333333333297"/>
    <n v="0.51470733333333296"/>
    <n v="0.44560666666666598"/>
    <n v="0.46179407383133297"/>
    <n v="0.45622238185199998"/>
    <n v="0.52756666666666596"/>
    <n v="0.52647466666666598"/>
    <n v="7.9109999999999996"/>
    <n v="9.9019999999999992"/>
    <n v="10.295999999999999"/>
    <n v="10.189"/>
    <n v="10.409000000000001"/>
    <n v="9.0180000000000007"/>
    <n v="8.2070000000000007"/>
    <n v="10.45"/>
    <n v="10.007999999999999"/>
    <n v="11.04"/>
    <n v="7.6280000000000001"/>
    <n v="9.4830000000000005"/>
    <n v="10.006"/>
    <n v="8.8379999999999992"/>
    <n v="10.294974"/>
    <n v="8.6899899999999999"/>
    <n v="9.7661066614650007"/>
    <n v="9.74796573267"/>
    <n v="10.40757"/>
    <n v="10.777813999999999"/>
    <n v="99.751999999999995"/>
    <n v="98.575000000000003"/>
    <n v="143.995"/>
    <n v="138.381"/>
    <n v="145.60499999999999"/>
    <n v="358.20100000000002"/>
    <n v="260.38299999999998"/>
    <n v="68.861000000000004"/>
    <n v="106.732"/>
    <n v="39.709000000000003"/>
    <n v="258.483"/>
    <n v="181.62899999999999"/>
    <n v="109.005"/>
    <n v="248.58600000000001"/>
    <n v="218.651084"/>
    <n v="239.29669999999999"/>
    <n v="153.46200546078001"/>
    <n v="160.13717320286801"/>
    <n v="219.70230000000001"/>
    <n v="201.375756"/>
    <n v="0.45622238185199998"/>
    <n v="9.74796573267"/>
    <n v="160.13717320286801"/>
  </r>
  <r>
    <x v="1"/>
    <n v="400907"/>
    <x v="8"/>
    <n v="0.39533333333333298"/>
    <n v="0.49066666666666597"/>
    <n v="0.49299999999999999"/>
    <n v="0.47033333333333299"/>
    <n v="0.43866666666666598"/>
    <n v="0.40233333333333299"/>
    <n v="0.42566666666666603"/>
    <n v="0.46966666666666601"/>
    <n v="0.43833333333333302"/>
    <n v="0.49833333333333302"/>
    <n v="0.473333333333333"/>
    <n v="0.49966666666666598"/>
    <n v="0.40666666666666601"/>
    <n v="0.45033333333333297"/>
    <n v="0.51470733333333296"/>
    <n v="0.44560666666666598"/>
    <n v="0.46179407383133297"/>
    <n v="0.45622238185199998"/>
    <n v="0.52756666666666596"/>
    <n v="0.52647466666666598"/>
    <n v="7.9109999999999996"/>
    <n v="9.9019999999999992"/>
    <n v="10.295999999999999"/>
    <n v="10.189"/>
    <n v="10.409000000000001"/>
    <n v="9.0180000000000007"/>
    <n v="8.2070000000000007"/>
    <n v="10.45"/>
    <n v="10.007999999999999"/>
    <n v="11.04"/>
    <n v="7.6280000000000001"/>
    <n v="9.4830000000000005"/>
    <n v="10.006"/>
    <n v="8.8379999999999992"/>
    <n v="10.294974"/>
    <n v="8.6899899999999999"/>
    <n v="9.7661066614650007"/>
    <n v="9.74796573267"/>
    <n v="10.40757"/>
    <n v="10.777813999999999"/>
    <n v="99.751999999999995"/>
    <n v="98.575000000000003"/>
    <n v="143.995"/>
    <n v="138.381"/>
    <n v="145.60499999999999"/>
    <n v="358.20100000000002"/>
    <n v="260.38299999999998"/>
    <n v="68.861000000000004"/>
    <n v="106.732"/>
    <n v="39.709000000000003"/>
    <n v="258.483"/>
    <n v="181.62899999999999"/>
    <n v="109.005"/>
    <n v="248.58600000000001"/>
    <n v="218.651084"/>
    <n v="239.29669999999999"/>
    <n v="153.46200546078001"/>
    <n v="160.13717320286801"/>
    <n v="219.70230000000001"/>
    <n v="201.375756"/>
    <n v="0.51470733333333296"/>
    <n v="10.294974"/>
    <n v="218.651084"/>
  </r>
  <r>
    <x v="2"/>
    <n v="628426"/>
    <x v="8"/>
    <n v="0.39533333333333298"/>
    <n v="0.49066666666666597"/>
    <n v="0.49299999999999999"/>
    <n v="0.47033333333333299"/>
    <n v="0.43866666666666598"/>
    <n v="0.40233333333333299"/>
    <n v="0.42566666666666603"/>
    <n v="0.46966666666666601"/>
    <n v="0.43833333333333302"/>
    <n v="0.49833333333333302"/>
    <n v="0.473333333333333"/>
    <n v="0.49966666666666598"/>
    <n v="0.40666666666666601"/>
    <n v="0.45033333333333297"/>
    <n v="0.51470733333333296"/>
    <n v="0.44560666666666598"/>
    <n v="0.46179407383133297"/>
    <n v="0.45622238185199998"/>
    <n v="0.52756666666666596"/>
    <n v="0.52647466666666598"/>
    <n v="7.9109999999999996"/>
    <n v="9.9019999999999992"/>
    <n v="10.295999999999999"/>
    <n v="10.189"/>
    <n v="10.409000000000001"/>
    <n v="9.0180000000000007"/>
    <n v="8.2070000000000007"/>
    <n v="10.45"/>
    <n v="10.007999999999999"/>
    <n v="11.04"/>
    <n v="7.6280000000000001"/>
    <n v="9.4830000000000005"/>
    <n v="10.006"/>
    <n v="8.8379999999999992"/>
    <n v="10.294974"/>
    <n v="8.6899899999999999"/>
    <n v="9.7661066614650007"/>
    <n v="9.74796573267"/>
    <n v="10.40757"/>
    <n v="10.777813999999999"/>
    <n v="99.751999999999995"/>
    <n v="98.575000000000003"/>
    <n v="143.995"/>
    <n v="138.381"/>
    <n v="145.60499999999999"/>
    <n v="358.20100000000002"/>
    <n v="260.38299999999998"/>
    <n v="68.861000000000004"/>
    <n v="106.732"/>
    <n v="39.709000000000003"/>
    <n v="258.483"/>
    <n v="181.62899999999999"/>
    <n v="109.005"/>
    <n v="248.58600000000001"/>
    <n v="218.651084"/>
    <n v="239.29669999999999"/>
    <n v="153.46200546078001"/>
    <n v="160.13717320286801"/>
    <n v="219.70230000000001"/>
    <n v="201.375756"/>
    <n v="0.46179407383133297"/>
    <n v="9.7661066614650007"/>
    <n v="153.46200546078001"/>
  </r>
  <r>
    <x v="3"/>
    <n v="231805"/>
    <x v="8"/>
    <n v="0.39533333333333298"/>
    <n v="0.49066666666666597"/>
    <n v="0.49299999999999999"/>
    <n v="0.47033333333333299"/>
    <n v="0.43866666666666598"/>
    <n v="0.40233333333333299"/>
    <n v="0.42566666666666603"/>
    <n v="0.46966666666666601"/>
    <n v="0.43833333333333302"/>
    <n v="0.49833333333333302"/>
    <n v="0.473333333333333"/>
    <n v="0.49966666666666598"/>
    <n v="0.40666666666666601"/>
    <n v="0.45033333333333297"/>
    <n v="0.51470733333333296"/>
    <n v="0.44560666666666598"/>
    <n v="0.46179407383133297"/>
    <n v="0.45622238185199998"/>
    <n v="0.52756666666666596"/>
    <n v="0.52647466666666598"/>
    <n v="7.9109999999999996"/>
    <n v="9.9019999999999992"/>
    <n v="10.295999999999999"/>
    <n v="10.189"/>
    <n v="10.409000000000001"/>
    <n v="9.0180000000000007"/>
    <n v="8.2070000000000007"/>
    <n v="10.45"/>
    <n v="10.007999999999999"/>
    <n v="11.04"/>
    <n v="7.6280000000000001"/>
    <n v="9.4830000000000005"/>
    <n v="10.006"/>
    <n v="8.8379999999999992"/>
    <n v="10.294974"/>
    <n v="8.6899899999999999"/>
    <n v="9.7661066614650007"/>
    <n v="9.74796573267"/>
    <n v="10.40757"/>
    <n v="10.777813999999999"/>
    <n v="99.751999999999995"/>
    <n v="98.575000000000003"/>
    <n v="143.995"/>
    <n v="138.381"/>
    <n v="145.60499999999999"/>
    <n v="358.20100000000002"/>
    <n v="260.38299999999998"/>
    <n v="68.861000000000004"/>
    <n v="106.732"/>
    <n v="39.709000000000003"/>
    <n v="258.483"/>
    <n v="181.62899999999999"/>
    <n v="109.005"/>
    <n v="248.58600000000001"/>
    <n v="218.651084"/>
    <n v="239.29669999999999"/>
    <n v="153.46200546078001"/>
    <n v="160.13717320286801"/>
    <n v="219.70230000000001"/>
    <n v="201.375756"/>
    <n v="0.52756666666666596"/>
    <n v="10.40757"/>
    <n v="219.70230000000001"/>
  </r>
  <r>
    <x v="4"/>
    <n v="189787"/>
    <x v="8"/>
    <n v="0.39533333333333298"/>
    <n v="0.49066666666666597"/>
    <n v="0.49299999999999999"/>
    <n v="0.47033333333333299"/>
    <n v="0.43866666666666598"/>
    <n v="0.40233333333333299"/>
    <n v="0.42566666666666603"/>
    <n v="0.46966666666666601"/>
    <n v="0.43833333333333302"/>
    <n v="0.49833333333333302"/>
    <n v="0.473333333333333"/>
    <n v="0.49966666666666598"/>
    <n v="0.40666666666666601"/>
    <n v="0.45033333333333297"/>
    <n v="0.51470733333333296"/>
    <n v="0.44560666666666598"/>
    <n v="0.46179407383133297"/>
    <n v="0.45622238185199998"/>
    <n v="0.52756666666666596"/>
    <n v="0.52647466666666598"/>
    <n v="7.9109999999999996"/>
    <n v="9.9019999999999992"/>
    <n v="10.295999999999999"/>
    <n v="10.189"/>
    <n v="10.409000000000001"/>
    <n v="9.0180000000000007"/>
    <n v="8.2070000000000007"/>
    <n v="10.45"/>
    <n v="10.007999999999999"/>
    <n v="11.04"/>
    <n v="7.6280000000000001"/>
    <n v="9.4830000000000005"/>
    <n v="10.006"/>
    <n v="8.8379999999999992"/>
    <n v="10.294974"/>
    <n v="8.6899899999999999"/>
    <n v="9.7661066614650007"/>
    <n v="9.74796573267"/>
    <n v="10.40757"/>
    <n v="10.777813999999999"/>
    <n v="99.751999999999995"/>
    <n v="98.575000000000003"/>
    <n v="143.995"/>
    <n v="138.381"/>
    <n v="145.60499999999999"/>
    <n v="358.20100000000002"/>
    <n v="260.38299999999998"/>
    <n v="68.861000000000004"/>
    <n v="106.732"/>
    <n v="39.709000000000003"/>
    <n v="258.483"/>
    <n v="181.62899999999999"/>
    <n v="109.005"/>
    <n v="248.58600000000001"/>
    <n v="218.651084"/>
    <n v="239.29669999999999"/>
    <n v="153.46200546078001"/>
    <n v="160.13717320286801"/>
    <n v="219.70230000000001"/>
    <n v="201.375756"/>
    <n v="0.52647466666666598"/>
    <n v="10.777813999999999"/>
    <n v="201.375756"/>
  </r>
  <r>
    <x v="0"/>
    <n v="602621"/>
    <x v="9"/>
    <n v="0.27400000000000002"/>
    <n v="0.31966666666666599"/>
    <n v="0.40166666666666601"/>
    <n v="0.50333333333333297"/>
    <n v="0.44"/>
    <n v="0.59899999999999998"/>
    <n v="0.49766666666666598"/>
    <n v="0.38999999999999901"/>
    <n v="0.51333333333333298"/>
    <n v="0.476333333333333"/>
    <n v="0.51500000000000001"/>
    <n v="0.63033333333333297"/>
    <n v="0.28866666666666602"/>
    <n v="0.47799999999999998"/>
    <n v="0.54305466666666602"/>
    <n v="0.53679333333333301"/>
    <n v="0.44487074048066599"/>
    <n v="0.45898142947866599"/>
    <n v="0.55339333333333296"/>
    <n v="0.56268733333333298"/>
    <n v="8.7370000000000001"/>
    <n v="10.676"/>
    <n v="10.877000000000001"/>
    <n v="12.076000000000001"/>
    <n v="11.614000000000001"/>
    <n v="11.942"/>
    <n v="12.457000000000001"/>
    <n v="10.972"/>
    <n v="12.03"/>
    <n v="12.621"/>
    <n v="12.567"/>
    <n v="13.01"/>
    <n v="10.419"/>
    <n v="11.925000000000001"/>
    <n v="13.510726"/>
    <n v="12.5379699999999"/>
    <n v="11.569156660305"/>
    <n v="11.713278594427999"/>
    <n v="13.998585"/>
    <n v="13.738423999999901"/>
    <n v="19.385999999999999"/>
    <n v="90.61"/>
    <n v="117.65300000000001"/>
    <n v="242.90899999999999"/>
    <n v="194.51900000000001"/>
    <n v="414.04"/>
    <n v="340.75199999999899"/>
    <n v="58.935000000000002"/>
    <n v="159.363"/>
    <n v="24.83"/>
    <n v="352.70600000000002"/>
    <n v="301.721"/>
    <n v="37.323"/>
    <n v="319.38900000000001"/>
    <n v="281.69792999999999"/>
    <n v="329.15658999999999"/>
    <n v="195.065959895888"/>
    <n v="205.979246108664"/>
    <n v="277.65585499999997"/>
    <n v="277.50562400000001"/>
    <n v="0.45898142947866599"/>
    <n v="11.713278594427999"/>
    <n v="205.979246108664"/>
  </r>
  <r>
    <x v="1"/>
    <n v="400555"/>
    <x v="9"/>
    <n v="0.27400000000000002"/>
    <n v="0.31966666666666599"/>
    <n v="0.40166666666666601"/>
    <n v="0.50333333333333297"/>
    <n v="0.44"/>
    <n v="0.59899999999999998"/>
    <n v="0.49766666666666598"/>
    <n v="0.38999999999999901"/>
    <n v="0.51333333333333298"/>
    <n v="0.476333333333333"/>
    <n v="0.51500000000000001"/>
    <n v="0.63033333333333297"/>
    <n v="0.28866666666666602"/>
    <n v="0.47799999999999998"/>
    <n v="0.54305466666666602"/>
    <n v="0.53679333333333301"/>
    <n v="0.44487074048066599"/>
    <n v="0.45898142947866599"/>
    <n v="0.55339333333333296"/>
    <n v="0.56268733333333298"/>
    <n v="8.7370000000000001"/>
    <n v="10.676"/>
    <n v="10.877000000000001"/>
    <n v="12.076000000000001"/>
    <n v="11.614000000000001"/>
    <n v="11.942"/>
    <n v="12.457000000000001"/>
    <n v="10.972"/>
    <n v="12.03"/>
    <n v="12.621"/>
    <n v="12.567"/>
    <n v="13.01"/>
    <n v="10.419"/>
    <n v="11.925000000000001"/>
    <n v="13.510726"/>
    <n v="12.5379699999999"/>
    <n v="11.569156660305"/>
    <n v="11.713278594427999"/>
    <n v="13.998585"/>
    <n v="13.738423999999901"/>
    <n v="19.385999999999999"/>
    <n v="90.61"/>
    <n v="117.65300000000001"/>
    <n v="242.90899999999999"/>
    <n v="194.51900000000001"/>
    <n v="414.04"/>
    <n v="340.75199999999899"/>
    <n v="58.935000000000002"/>
    <n v="159.363"/>
    <n v="24.83"/>
    <n v="352.70600000000002"/>
    <n v="301.721"/>
    <n v="37.323"/>
    <n v="319.38900000000001"/>
    <n v="281.69792999999999"/>
    <n v="329.15658999999999"/>
    <n v="195.065959895888"/>
    <n v="205.979246108664"/>
    <n v="277.65585499999997"/>
    <n v="277.50562400000001"/>
    <n v="0.54305466666666602"/>
    <n v="13.510726"/>
    <n v="281.69792999999999"/>
  </r>
  <r>
    <x v="2"/>
    <n v="323752"/>
    <x v="9"/>
    <n v="0.27400000000000002"/>
    <n v="0.31966666666666599"/>
    <n v="0.40166666666666601"/>
    <n v="0.50333333333333297"/>
    <n v="0.44"/>
    <n v="0.59899999999999998"/>
    <n v="0.49766666666666598"/>
    <n v="0.38999999999999901"/>
    <n v="0.51333333333333298"/>
    <n v="0.476333333333333"/>
    <n v="0.51500000000000001"/>
    <n v="0.63033333333333297"/>
    <n v="0.28866666666666602"/>
    <n v="0.47799999999999998"/>
    <n v="0.54305466666666602"/>
    <n v="0.53679333333333301"/>
    <n v="0.44487074048066599"/>
    <n v="0.45898142947866599"/>
    <n v="0.55339333333333296"/>
    <n v="0.56268733333333298"/>
    <n v="8.7370000000000001"/>
    <n v="10.676"/>
    <n v="10.877000000000001"/>
    <n v="12.076000000000001"/>
    <n v="11.614000000000001"/>
    <n v="11.942"/>
    <n v="12.457000000000001"/>
    <n v="10.972"/>
    <n v="12.03"/>
    <n v="12.621"/>
    <n v="12.567"/>
    <n v="13.01"/>
    <n v="10.419"/>
    <n v="11.925000000000001"/>
    <n v="13.510726"/>
    <n v="12.5379699999999"/>
    <n v="11.569156660305"/>
    <n v="11.713278594427999"/>
    <n v="13.998585"/>
    <n v="13.738423999999901"/>
    <n v="19.385999999999999"/>
    <n v="90.61"/>
    <n v="117.65300000000001"/>
    <n v="242.90899999999999"/>
    <n v="194.51900000000001"/>
    <n v="414.04"/>
    <n v="340.75199999999899"/>
    <n v="58.935000000000002"/>
    <n v="159.363"/>
    <n v="24.83"/>
    <n v="352.70600000000002"/>
    <n v="301.721"/>
    <n v="37.323"/>
    <n v="319.38900000000001"/>
    <n v="281.69792999999999"/>
    <n v="329.15658999999999"/>
    <n v="195.065959895888"/>
    <n v="205.979246108664"/>
    <n v="277.65585499999997"/>
    <n v="277.50562400000001"/>
    <n v="0.44487074048066599"/>
    <n v="11.569156660305"/>
    <n v="195.065959895888"/>
  </r>
  <r>
    <x v="3"/>
    <n v="201744"/>
    <x v="9"/>
    <n v="0.27400000000000002"/>
    <n v="0.31966666666666599"/>
    <n v="0.40166666666666601"/>
    <n v="0.50333333333333297"/>
    <n v="0.44"/>
    <n v="0.59899999999999998"/>
    <n v="0.49766666666666598"/>
    <n v="0.38999999999999901"/>
    <n v="0.51333333333333298"/>
    <n v="0.476333333333333"/>
    <n v="0.51500000000000001"/>
    <n v="0.63033333333333297"/>
    <n v="0.28866666666666602"/>
    <n v="0.47799999999999998"/>
    <n v="0.54305466666666602"/>
    <n v="0.53679333333333301"/>
    <n v="0.44487074048066599"/>
    <n v="0.45898142947866599"/>
    <n v="0.55339333333333296"/>
    <n v="0.56268733333333298"/>
    <n v="8.7370000000000001"/>
    <n v="10.676"/>
    <n v="10.877000000000001"/>
    <n v="12.076000000000001"/>
    <n v="11.614000000000001"/>
    <n v="11.942"/>
    <n v="12.457000000000001"/>
    <n v="10.972"/>
    <n v="12.03"/>
    <n v="12.621"/>
    <n v="12.567"/>
    <n v="13.01"/>
    <n v="10.419"/>
    <n v="11.925000000000001"/>
    <n v="13.510726"/>
    <n v="12.5379699999999"/>
    <n v="11.569156660305"/>
    <n v="11.713278594427999"/>
    <n v="13.998585"/>
    <n v="13.738423999999901"/>
    <n v="19.385999999999999"/>
    <n v="90.61"/>
    <n v="117.65300000000001"/>
    <n v="242.90899999999999"/>
    <n v="194.51900000000001"/>
    <n v="414.04"/>
    <n v="340.75199999999899"/>
    <n v="58.935000000000002"/>
    <n v="159.363"/>
    <n v="24.83"/>
    <n v="352.70600000000002"/>
    <n v="301.721"/>
    <n v="37.323"/>
    <n v="319.38900000000001"/>
    <n v="281.69792999999999"/>
    <n v="329.15658999999999"/>
    <n v="195.065959895888"/>
    <n v="205.979246108664"/>
    <n v="277.65585499999997"/>
    <n v="277.50562400000001"/>
    <n v="0.55339333333333296"/>
    <n v="13.998585"/>
    <n v="277.65585499999997"/>
  </r>
  <r>
    <x v="4"/>
    <n v="126492"/>
    <x v="9"/>
    <n v="0.27400000000000002"/>
    <n v="0.31966666666666599"/>
    <n v="0.40166666666666601"/>
    <n v="0.50333333333333297"/>
    <n v="0.44"/>
    <n v="0.59899999999999998"/>
    <n v="0.49766666666666598"/>
    <n v="0.38999999999999901"/>
    <n v="0.51333333333333298"/>
    <n v="0.476333333333333"/>
    <n v="0.51500000000000001"/>
    <n v="0.63033333333333297"/>
    <n v="0.28866666666666602"/>
    <n v="0.47799999999999998"/>
    <n v="0.54305466666666602"/>
    <n v="0.53679333333333301"/>
    <n v="0.44487074048066599"/>
    <n v="0.45898142947866599"/>
    <n v="0.55339333333333296"/>
    <n v="0.56268733333333298"/>
    <n v="8.7370000000000001"/>
    <n v="10.676"/>
    <n v="10.877000000000001"/>
    <n v="12.076000000000001"/>
    <n v="11.614000000000001"/>
    <n v="11.942"/>
    <n v="12.457000000000001"/>
    <n v="10.972"/>
    <n v="12.03"/>
    <n v="12.621"/>
    <n v="12.567"/>
    <n v="13.01"/>
    <n v="10.419"/>
    <n v="11.925000000000001"/>
    <n v="13.510726"/>
    <n v="12.5379699999999"/>
    <n v="11.569156660305"/>
    <n v="11.713278594427999"/>
    <n v="13.998585"/>
    <n v="13.738423999999901"/>
    <n v="19.385999999999999"/>
    <n v="90.61"/>
    <n v="117.65300000000001"/>
    <n v="242.90899999999999"/>
    <n v="194.51900000000001"/>
    <n v="414.04"/>
    <n v="340.75199999999899"/>
    <n v="58.935000000000002"/>
    <n v="159.363"/>
    <n v="24.83"/>
    <n v="352.70600000000002"/>
    <n v="301.721"/>
    <n v="37.323"/>
    <n v="319.38900000000001"/>
    <n v="281.69792999999999"/>
    <n v="329.15658999999999"/>
    <n v="195.065959895888"/>
    <n v="205.979246108664"/>
    <n v="277.65585499999997"/>
    <n v="277.50562400000001"/>
    <n v="0.56268733333333298"/>
    <n v="13.738423999999901"/>
    <n v="277.50562400000001"/>
  </r>
  <r>
    <x v="0"/>
    <n v="703373"/>
    <x v="10"/>
    <n v="0.375"/>
    <n v="0.75166666666666604"/>
    <n v="0.59733333333333305"/>
    <n v="0.64900000000000002"/>
    <n v="0.56733333333333302"/>
    <n v="0.55966666666666598"/>
    <n v="0.498"/>
    <n v="0.76366666666666605"/>
    <n v="0.55466666666666598"/>
    <n v="0.73633333333333295"/>
    <n v="0.54"/>
    <n v="0.53900000000000003"/>
    <n v="0.54"/>
    <n v="0.50466666666666604"/>
    <n v="0.62740600000000002"/>
    <n v="0.52061333333333304"/>
    <n v="0.59997703673366598"/>
    <n v="0.59001952495866605"/>
    <n v="0.65963333333333296"/>
    <n v="0.66146466666666603"/>
    <n v="9.0109999999999992"/>
    <n v="10.667999999999999"/>
    <n v="10.936"/>
    <n v="12.132"/>
    <n v="11.147"/>
    <n v="13.503"/>
    <n v="13.265000000000001"/>
    <n v="12.109"/>
    <n v="11.090999999999999"/>
    <n v="10.664"/>
    <n v="13.009"/>
    <n v="12.739000000000001"/>
    <n v="9.3170000000000002"/>
    <n v="11.316000000000001"/>
    <n v="13.642632000000001"/>
    <n v="13.06739"/>
    <n v="11.567951104935"/>
    <n v="11.776005736931999"/>
    <n v="13.806765"/>
    <n v="13.77718"/>
    <n v="147.46899999999999"/>
    <n v="243.34200000000001"/>
    <n v="260.08100000000002"/>
    <n v="294.67700000000002"/>
    <n v="318.95100000000002"/>
    <n v="475.48899999999998"/>
    <n v="380.512"/>
    <n v="170.23699999999999"/>
    <n v="254.32499999999999"/>
    <n v="118.384"/>
    <n v="444.63"/>
    <n v="316.791"/>
    <n v="175.435"/>
    <n v="405.66"/>
    <n v="376.03884599999998"/>
    <n v="366.01418999999999"/>
    <n v="291.778889844297"/>
    <n v="292.075782025514"/>
    <n v="371.26574499999998"/>
    <n v="361.44899199999998"/>
    <n v="0.59001952495866605"/>
    <n v="11.776005736931999"/>
    <n v="292.075782025514"/>
  </r>
  <r>
    <x v="1"/>
    <n v="399958"/>
    <x v="10"/>
    <n v="0.375"/>
    <n v="0.75166666666666604"/>
    <n v="0.59733333333333305"/>
    <n v="0.64900000000000002"/>
    <n v="0.56733333333333302"/>
    <n v="0.55966666666666598"/>
    <n v="0.498"/>
    <n v="0.76366666666666605"/>
    <n v="0.55466666666666598"/>
    <n v="0.73633333333333295"/>
    <n v="0.54"/>
    <n v="0.53900000000000003"/>
    <n v="0.54"/>
    <n v="0.50466666666666604"/>
    <n v="0.62740600000000002"/>
    <n v="0.52061333333333304"/>
    <n v="0.59997703673366598"/>
    <n v="0.59001952495866605"/>
    <n v="0.65963333333333296"/>
    <n v="0.66146466666666603"/>
    <n v="9.0109999999999992"/>
    <n v="10.667999999999999"/>
    <n v="10.936"/>
    <n v="12.132"/>
    <n v="11.147"/>
    <n v="13.503"/>
    <n v="13.265000000000001"/>
    <n v="12.109"/>
    <n v="11.090999999999999"/>
    <n v="10.664"/>
    <n v="13.009"/>
    <n v="12.739000000000001"/>
    <n v="9.3170000000000002"/>
    <n v="11.316000000000001"/>
    <n v="13.642632000000001"/>
    <n v="13.06739"/>
    <n v="11.567951104935"/>
    <n v="11.776005736931999"/>
    <n v="13.806765"/>
    <n v="13.77718"/>
    <n v="147.46899999999999"/>
    <n v="243.34200000000001"/>
    <n v="260.08100000000002"/>
    <n v="294.67700000000002"/>
    <n v="318.95100000000002"/>
    <n v="475.48899999999998"/>
    <n v="380.512"/>
    <n v="170.23699999999999"/>
    <n v="254.32499999999999"/>
    <n v="118.384"/>
    <n v="444.63"/>
    <n v="316.791"/>
    <n v="175.435"/>
    <n v="405.66"/>
    <n v="376.03884599999998"/>
    <n v="366.01418999999999"/>
    <n v="291.778889844297"/>
    <n v="292.075782025514"/>
    <n v="371.26574499999998"/>
    <n v="361.44899199999998"/>
    <n v="0.62740600000000002"/>
    <n v="13.642632000000001"/>
    <n v="376.03884599999998"/>
  </r>
  <r>
    <x v="2"/>
    <n v="608551"/>
    <x v="10"/>
    <n v="0.375"/>
    <n v="0.75166666666666604"/>
    <n v="0.59733333333333305"/>
    <n v="0.64900000000000002"/>
    <n v="0.56733333333333302"/>
    <n v="0.55966666666666598"/>
    <n v="0.498"/>
    <n v="0.76366666666666605"/>
    <n v="0.55466666666666598"/>
    <n v="0.73633333333333295"/>
    <n v="0.54"/>
    <n v="0.53900000000000003"/>
    <n v="0.54"/>
    <n v="0.50466666666666604"/>
    <n v="0.62740600000000002"/>
    <n v="0.52061333333333304"/>
    <n v="0.59997703673366598"/>
    <n v="0.59001952495866605"/>
    <n v="0.65963333333333296"/>
    <n v="0.66146466666666603"/>
    <n v="9.0109999999999992"/>
    <n v="10.667999999999999"/>
    <n v="10.936"/>
    <n v="12.132"/>
    <n v="11.147"/>
    <n v="13.503"/>
    <n v="13.265000000000001"/>
    <n v="12.109"/>
    <n v="11.090999999999999"/>
    <n v="10.664"/>
    <n v="13.009"/>
    <n v="12.739000000000001"/>
    <n v="9.3170000000000002"/>
    <n v="11.316000000000001"/>
    <n v="13.642632000000001"/>
    <n v="13.06739"/>
    <n v="11.567951104935"/>
    <n v="11.776005736931999"/>
    <n v="13.806765"/>
    <n v="13.77718"/>
    <n v="147.46899999999999"/>
    <n v="243.34200000000001"/>
    <n v="260.08100000000002"/>
    <n v="294.67700000000002"/>
    <n v="318.95100000000002"/>
    <n v="475.48899999999998"/>
    <n v="380.512"/>
    <n v="170.23699999999999"/>
    <n v="254.32499999999999"/>
    <n v="118.384"/>
    <n v="444.63"/>
    <n v="316.791"/>
    <n v="175.435"/>
    <n v="405.66"/>
    <n v="376.03884599999998"/>
    <n v="366.01418999999999"/>
    <n v="291.778889844297"/>
    <n v="292.075782025514"/>
    <n v="371.26574499999998"/>
    <n v="361.44899199999998"/>
    <n v="0.59997703673366598"/>
    <n v="11.567951104935"/>
    <n v="291.778889844297"/>
  </r>
  <r>
    <x v="3"/>
    <n v="279080"/>
    <x v="10"/>
    <n v="0.375"/>
    <n v="0.75166666666666604"/>
    <n v="0.59733333333333305"/>
    <n v="0.64900000000000002"/>
    <n v="0.56733333333333302"/>
    <n v="0.55966666666666598"/>
    <n v="0.498"/>
    <n v="0.76366666666666605"/>
    <n v="0.55466666666666598"/>
    <n v="0.73633333333333295"/>
    <n v="0.54"/>
    <n v="0.53900000000000003"/>
    <n v="0.54"/>
    <n v="0.50466666666666604"/>
    <n v="0.62740600000000002"/>
    <n v="0.52061333333333304"/>
    <n v="0.59997703673366598"/>
    <n v="0.59001952495866605"/>
    <n v="0.65963333333333296"/>
    <n v="0.66146466666666603"/>
    <n v="9.0109999999999992"/>
    <n v="10.667999999999999"/>
    <n v="10.936"/>
    <n v="12.132"/>
    <n v="11.147"/>
    <n v="13.503"/>
    <n v="13.265000000000001"/>
    <n v="12.109"/>
    <n v="11.090999999999999"/>
    <n v="10.664"/>
    <n v="13.009"/>
    <n v="12.739000000000001"/>
    <n v="9.3170000000000002"/>
    <n v="11.316000000000001"/>
    <n v="13.642632000000001"/>
    <n v="13.06739"/>
    <n v="11.567951104935"/>
    <n v="11.776005736931999"/>
    <n v="13.806765"/>
    <n v="13.77718"/>
    <n v="147.46899999999999"/>
    <n v="243.34200000000001"/>
    <n v="260.08100000000002"/>
    <n v="294.67700000000002"/>
    <n v="318.95100000000002"/>
    <n v="475.48899999999998"/>
    <n v="380.512"/>
    <n v="170.23699999999999"/>
    <n v="254.32499999999999"/>
    <n v="118.384"/>
    <n v="444.63"/>
    <n v="316.791"/>
    <n v="175.435"/>
    <n v="405.66"/>
    <n v="376.03884599999998"/>
    <n v="366.01418999999999"/>
    <n v="291.778889844297"/>
    <n v="292.075782025514"/>
    <n v="371.26574499999998"/>
    <n v="361.44899199999998"/>
    <n v="0.65963333333333296"/>
    <n v="13.806765"/>
    <n v="371.26574499999998"/>
  </r>
  <r>
    <x v="4"/>
    <n v="143989"/>
    <x v="10"/>
    <n v="0.375"/>
    <n v="0.75166666666666604"/>
    <n v="0.59733333333333305"/>
    <n v="0.64900000000000002"/>
    <n v="0.56733333333333302"/>
    <n v="0.55966666666666598"/>
    <n v="0.498"/>
    <n v="0.76366666666666605"/>
    <n v="0.55466666666666598"/>
    <n v="0.73633333333333295"/>
    <n v="0.54"/>
    <n v="0.53900000000000003"/>
    <n v="0.54"/>
    <n v="0.50466666666666604"/>
    <n v="0.62740600000000002"/>
    <n v="0.52061333333333304"/>
    <n v="0.59997703673366598"/>
    <n v="0.59001952495866605"/>
    <n v="0.65963333333333296"/>
    <n v="0.66146466666666603"/>
    <n v="9.0109999999999992"/>
    <n v="10.667999999999999"/>
    <n v="10.936"/>
    <n v="12.132"/>
    <n v="11.147"/>
    <n v="13.503"/>
    <n v="13.265000000000001"/>
    <n v="12.109"/>
    <n v="11.090999999999999"/>
    <n v="10.664"/>
    <n v="13.009"/>
    <n v="12.739000000000001"/>
    <n v="9.3170000000000002"/>
    <n v="11.316000000000001"/>
    <n v="13.642632000000001"/>
    <n v="13.06739"/>
    <n v="11.567951104935"/>
    <n v="11.776005736931999"/>
    <n v="13.806765"/>
    <n v="13.77718"/>
    <n v="147.46899999999999"/>
    <n v="243.34200000000001"/>
    <n v="260.08100000000002"/>
    <n v="294.67700000000002"/>
    <n v="318.95100000000002"/>
    <n v="475.48899999999998"/>
    <n v="380.512"/>
    <n v="170.23699999999999"/>
    <n v="254.32499999999999"/>
    <n v="118.384"/>
    <n v="444.63"/>
    <n v="316.791"/>
    <n v="175.435"/>
    <n v="405.66"/>
    <n v="376.03884599999998"/>
    <n v="366.01418999999999"/>
    <n v="291.778889844297"/>
    <n v="292.075782025514"/>
    <n v="371.26574499999998"/>
    <n v="361.44899199999998"/>
    <n v="0.66146466666666603"/>
    <n v="13.77718"/>
    <n v="361.44899199999998"/>
  </r>
  <r>
    <x v="0"/>
    <n v="460481"/>
    <x v="11"/>
    <n v="0.29566666666666602"/>
    <n v="0.26266666666666599"/>
    <n v="0.40100000000000002"/>
    <n v="0.45700000000000002"/>
    <n v="0.455666666666666"/>
    <n v="0.58299999999999996"/>
    <n v="0.51500000000000001"/>
    <n v="0.312"/>
    <n v="0.39433333333333298"/>
    <n v="0.42366666666666603"/>
    <n v="0.54199999999999904"/>
    <n v="0.38933333333333298"/>
    <n v="0.31900000000000001"/>
    <n v="0.52833333333333299"/>
    <n v="0.51546133333333299"/>
    <n v="0.48443999999999998"/>
    <n v="0.42009555530833298"/>
    <n v="0.43072238181799999"/>
    <n v="0.54903166666666603"/>
    <n v="0.509548"/>
    <n v="9.5030000000000001"/>
    <n v="9.9809999999999999"/>
    <n v="10.539"/>
    <n v="12.19"/>
    <n v="12.061999999999999"/>
    <n v="11.407"/>
    <n v="12.37"/>
    <n v="10.420999999999999"/>
    <n v="10.226000000000001"/>
    <n v="11.015000000000001"/>
    <n v="12.984"/>
    <n v="11.936999999999999"/>
    <n v="9.6110000000000007"/>
    <n v="12.436"/>
    <n v="13.32835"/>
    <n v="12.1980299999999"/>
    <n v="11.424432216156999"/>
    <n v="11.524784307872"/>
    <n v="13.695885000000001"/>
    <n v="13.493933999999999"/>
    <n v="94.293999999999997"/>
    <n v="143.18299999999999"/>
    <n v="132.541"/>
    <n v="171.80199999999999"/>
    <n v="159.57400000000001"/>
    <n v="322.72800000000001"/>
    <n v="207.03"/>
    <n v="140.65"/>
    <n v="121.42400000000001"/>
    <n v="133.59199999999899"/>
    <n v="286.86500000000001"/>
    <n v="184.71600000000001"/>
    <n v="114.788"/>
    <n v="371.32799999999997"/>
    <n v="224.36911799999999"/>
    <n v="206.95577"/>
    <n v="166.895885439626"/>
    <n v="169.52889899240401"/>
    <n v="256.05957000000001"/>
    <n v="218.65333799999999"/>
    <n v="0.43072238181799999"/>
    <n v="11.524784307872"/>
    <n v="169.52889899240401"/>
  </r>
  <r>
    <x v="1"/>
    <n v="181585"/>
    <x v="11"/>
    <n v="0.29566666666666602"/>
    <n v="0.26266666666666599"/>
    <n v="0.40100000000000002"/>
    <n v="0.45700000000000002"/>
    <n v="0.455666666666666"/>
    <n v="0.58299999999999996"/>
    <n v="0.51500000000000001"/>
    <n v="0.312"/>
    <n v="0.39433333333333298"/>
    <n v="0.42366666666666603"/>
    <n v="0.54199999999999904"/>
    <n v="0.38933333333333298"/>
    <n v="0.31900000000000001"/>
    <n v="0.52833333333333299"/>
    <n v="0.51546133333333299"/>
    <n v="0.48443999999999998"/>
    <n v="0.42009555530833298"/>
    <n v="0.43072238181799999"/>
    <n v="0.54903166666666603"/>
    <n v="0.509548"/>
    <n v="9.5030000000000001"/>
    <n v="9.9809999999999999"/>
    <n v="10.539"/>
    <n v="12.19"/>
    <n v="12.061999999999999"/>
    <n v="11.407"/>
    <n v="12.37"/>
    <n v="10.420999999999999"/>
    <n v="10.226000000000001"/>
    <n v="11.015000000000001"/>
    <n v="12.984"/>
    <n v="11.936999999999999"/>
    <n v="9.6110000000000007"/>
    <n v="12.436"/>
    <n v="13.32835"/>
    <n v="12.1980299999999"/>
    <n v="11.424432216156999"/>
    <n v="11.524784307872"/>
    <n v="13.695885000000001"/>
    <n v="13.493933999999999"/>
    <n v="94.293999999999997"/>
    <n v="143.18299999999999"/>
    <n v="132.541"/>
    <n v="171.80199999999999"/>
    <n v="159.57400000000001"/>
    <n v="322.72800000000001"/>
    <n v="207.03"/>
    <n v="140.65"/>
    <n v="121.42400000000001"/>
    <n v="133.59199999999899"/>
    <n v="286.86500000000001"/>
    <n v="184.71600000000001"/>
    <n v="114.788"/>
    <n v="371.32799999999997"/>
    <n v="224.36911799999999"/>
    <n v="206.95577"/>
    <n v="166.895885439626"/>
    <n v="169.52889899240401"/>
    <n v="256.05957000000001"/>
    <n v="218.65333799999999"/>
    <n v="0.51546133333333299"/>
    <n v="13.32835"/>
    <n v="224.36911799999999"/>
  </r>
  <r>
    <x v="2"/>
    <n v="494345"/>
    <x v="11"/>
    <n v="0.29566666666666602"/>
    <n v="0.26266666666666599"/>
    <n v="0.40100000000000002"/>
    <n v="0.45700000000000002"/>
    <n v="0.455666666666666"/>
    <n v="0.58299999999999996"/>
    <n v="0.51500000000000001"/>
    <n v="0.312"/>
    <n v="0.39433333333333298"/>
    <n v="0.42366666666666603"/>
    <n v="0.54199999999999904"/>
    <n v="0.38933333333333298"/>
    <n v="0.31900000000000001"/>
    <n v="0.52833333333333299"/>
    <n v="0.51546133333333299"/>
    <n v="0.48443999999999998"/>
    <n v="0.42009555530833298"/>
    <n v="0.43072238181799999"/>
    <n v="0.54903166666666603"/>
    <n v="0.509548"/>
    <n v="9.5030000000000001"/>
    <n v="9.9809999999999999"/>
    <n v="10.539"/>
    <n v="12.19"/>
    <n v="12.061999999999999"/>
    <n v="11.407"/>
    <n v="12.37"/>
    <n v="10.420999999999999"/>
    <n v="10.226000000000001"/>
    <n v="11.015000000000001"/>
    <n v="12.984"/>
    <n v="11.936999999999999"/>
    <n v="9.6110000000000007"/>
    <n v="12.436"/>
    <n v="13.32835"/>
    <n v="12.1980299999999"/>
    <n v="11.424432216156999"/>
    <n v="11.524784307872"/>
    <n v="13.695885000000001"/>
    <n v="13.493933999999999"/>
    <n v="94.293999999999997"/>
    <n v="143.18299999999999"/>
    <n v="132.541"/>
    <n v="171.80199999999999"/>
    <n v="159.57400000000001"/>
    <n v="322.72800000000001"/>
    <n v="207.03"/>
    <n v="140.65"/>
    <n v="121.42400000000001"/>
    <n v="133.59199999999899"/>
    <n v="286.86500000000001"/>
    <n v="184.71600000000001"/>
    <n v="114.788"/>
    <n v="371.32799999999997"/>
    <n v="224.36911799999999"/>
    <n v="206.95577"/>
    <n v="166.895885439626"/>
    <n v="169.52889899240401"/>
    <n v="256.05957000000001"/>
    <n v="218.65333799999999"/>
    <n v="0.42009555530833298"/>
    <n v="11.424432216156999"/>
    <n v="166.895885439626"/>
  </r>
  <r>
    <x v="3"/>
    <n v="190493"/>
    <x v="11"/>
    <n v="0.29566666666666602"/>
    <n v="0.26266666666666599"/>
    <n v="0.40100000000000002"/>
    <n v="0.45700000000000002"/>
    <n v="0.455666666666666"/>
    <n v="0.58299999999999996"/>
    <n v="0.51500000000000001"/>
    <n v="0.312"/>
    <n v="0.39433333333333298"/>
    <n v="0.42366666666666603"/>
    <n v="0.54199999999999904"/>
    <n v="0.38933333333333298"/>
    <n v="0.31900000000000001"/>
    <n v="0.52833333333333299"/>
    <n v="0.51546133333333299"/>
    <n v="0.48443999999999998"/>
    <n v="0.42009555530833298"/>
    <n v="0.43072238181799999"/>
    <n v="0.54903166666666603"/>
    <n v="0.509548"/>
    <n v="9.5030000000000001"/>
    <n v="9.9809999999999999"/>
    <n v="10.539"/>
    <n v="12.19"/>
    <n v="12.061999999999999"/>
    <n v="11.407"/>
    <n v="12.37"/>
    <n v="10.420999999999999"/>
    <n v="10.226000000000001"/>
    <n v="11.015000000000001"/>
    <n v="12.984"/>
    <n v="11.936999999999999"/>
    <n v="9.6110000000000007"/>
    <n v="12.436"/>
    <n v="13.32835"/>
    <n v="12.1980299999999"/>
    <n v="11.424432216156999"/>
    <n v="11.524784307872"/>
    <n v="13.695885000000001"/>
    <n v="13.493933999999999"/>
    <n v="94.293999999999997"/>
    <n v="143.18299999999999"/>
    <n v="132.541"/>
    <n v="171.80199999999999"/>
    <n v="159.57400000000001"/>
    <n v="322.72800000000001"/>
    <n v="207.03"/>
    <n v="140.65"/>
    <n v="121.42400000000001"/>
    <n v="133.59199999999899"/>
    <n v="286.86500000000001"/>
    <n v="184.71600000000001"/>
    <n v="114.788"/>
    <n v="371.32799999999997"/>
    <n v="224.36911799999999"/>
    <n v="206.95577"/>
    <n v="166.895885439626"/>
    <n v="169.52889899240401"/>
    <n v="256.05957000000001"/>
    <n v="218.65333799999999"/>
    <n v="0.54903166666666603"/>
    <n v="13.695885000000001"/>
    <n v="256.05957000000001"/>
  </r>
  <r>
    <x v="4"/>
    <n v="121003"/>
    <x v="11"/>
    <n v="0.29566666666666602"/>
    <n v="0.26266666666666599"/>
    <n v="0.40100000000000002"/>
    <n v="0.45700000000000002"/>
    <n v="0.455666666666666"/>
    <n v="0.58299999999999996"/>
    <n v="0.51500000000000001"/>
    <n v="0.312"/>
    <n v="0.39433333333333298"/>
    <n v="0.42366666666666603"/>
    <n v="0.54199999999999904"/>
    <n v="0.38933333333333298"/>
    <n v="0.31900000000000001"/>
    <n v="0.52833333333333299"/>
    <n v="0.51546133333333299"/>
    <n v="0.48443999999999998"/>
    <n v="0.42009555530833298"/>
    <n v="0.43072238181799999"/>
    <n v="0.54903166666666603"/>
    <n v="0.509548"/>
    <n v="9.5030000000000001"/>
    <n v="9.9809999999999999"/>
    <n v="10.539"/>
    <n v="12.19"/>
    <n v="12.061999999999999"/>
    <n v="11.407"/>
    <n v="12.37"/>
    <n v="10.420999999999999"/>
    <n v="10.226000000000001"/>
    <n v="11.015000000000001"/>
    <n v="12.984"/>
    <n v="11.936999999999999"/>
    <n v="9.6110000000000007"/>
    <n v="12.436"/>
    <n v="13.32835"/>
    <n v="12.1980299999999"/>
    <n v="11.424432216156999"/>
    <n v="11.524784307872"/>
    <n v="13.695885000000001"/>
    <n v="13.493933999999999"/>
    <n v="94.293999999999997"/>
    <n v="143.18299999999999"/>
    <n v="132.541"/>
    <n v="171.80199999999999"/>
    <n v="159.57400000000001"/>
    <n v="322.72800000000001"/>
    <n v="207.03"/>
    <n v="140.65"/>
    <n v="121.42400000000001"/>
    <n v="133.59199999999899"/>
    <n v="286.86500000000001"/>
    <n v="184.71600000000001"/>
    <n v="114.788"/>
    <n v="371.32799999999997"/>
    <n v="224.36911799999999"/>
    <n v="206.95577"/>
    <n v="166.895885439626"/>
    <n v="169.52889899240401"/>
    <n v="256.05957000000001"/>
    <n v="218.65333799999999"/>
    <n v="0.509548"/>
    <n v="13.493933999999999"/>
    <n v="218.65333799999999"/>
  </r>
  <r>
    <x v="0"/>
    <n v="331195"/>
    <x v="12"/>
    <n v="0.317"/>
    <n v="0.41366666666666602"/>
    <n v="0.358333333333333"/>
    <n v="0.40766666666666601"/>
    <n v="0.34233333333333299"/>
    <n v="0.46600000000000003"/>
    <n v="0.50566666666666604"/>
    <n v="0.41799999999999998"/>
    <n v="0.41466666666666602"/>
    <n v="0.38366666666666599"/>
    <n v="0.30866666666666598"/>
    <n v="0.44600000000000001"/>
    <n v="0.36166666666666603"/>
    <n v="0.34599999999999997"/>
    <n v="0.44767333333333298"/>
    <n v="0.479866666666666"/>
    <n v="0.38587481460066603"/>
    <n v="0.40519761980466601"/>
    <n v="0.45209666666666598"/>
    <n v="0.46069066666666603"/>
    <n v="8.02"/>
    <n v="8.077"/>
    <n v="7.8810000000000002"/>
    <n v="9.1430000000000007"/>
    <n v="8.1359999999999992"/>
    <n v="9.4429999999999996"/>
    <n v="9.7739999999999991"/>
    <n v="8.4120000000000008"/>
    <n v="9.1430000000000007"/>
    <n v="8.19"/>
    <n v="8.4079999999999995"/>
    <n v="9.548"/>
    <n v="7.819"/>
    <n v="8.3989999999999991"/>
    <n v="9.8952120000000008"/>
    <n v="9.6360499999999991"/>
    <n v="8.5101744396450005"/>
    <n v="8.7444485884799992"/>
    <n v="10.02717"/>
    <n v="10.168264000000001"/>
    <n v="89.316999999999993"/>
    <n v="109.26"/>
    <n v="113.29300000000001"/>
    <n v="152.077"/>
    <n v="148.822"/>
    <n v="308.161"/>
    <n v="209.76400000000001"/>
    <n v="76.194000000000003"/>
    <n v="118.905"/>
    <n v="33.066000000000003"/>
    <n v="204.08699999999999"/>
    <n v="185.196"/>
    <n v="98.42"/>
    <n v="197.93600000000001"/>
    <n v="190.284682"/>
    <n v="205.97528"/>
    <n v="143.56373769473501"/>
    <n v="148.78549601735199"/>
    <n v="181.593435"/>
    <n v="186.59354200000001"/>
    <n v="0.40519761980466601"/>
    <n v="8.7444485884799992"/>
    <n v="148.78549601735199"/>
  </r>
  <r>
    <x v="1"/>
    <n v="158266"/>
    <x v="12"/>
    <n v="0.317"/>
    <n v="0.41366666666666602"/>
    <n v="0.358333333333333"/>
    <n v="0.40766666666666601"/>
    <n v="0.34233333333333299"/>
    <n v="0.46600000000000003"/>
    <n v="0.50566666666666604"/>
    <n v="0.41799999999999998"/>
    <n v="0.41466666666666602"/>
    <n v="0.38366666666666599"/>
    <n v="0.30866666666666598"/>
    <n v="0.44600000000000001"/>
    <n v="0.36166666666666603"/>
    <n v="0.34599999999999997"/>
    <n v="0.44767333333333298"/>
    <n v="0.479866666666666"/>
    <n v="0.38587481460066603"/>
    <n v="0.40519761980466601"/>
    <n v="0.45209666666666598"/>
    <n v="0.46069066666666603"/>
    <n v="8.02"/>
    <n v="8.077"/>
    <n v="7.8810000000000002"/>
    <n v="9.1430000000000007"/>
    <n v="8.1359999999999992"/>
    <n v="9.4429999999999996"/>
    <n v="9.7739999999999991"/>
    <n v="8.4120000000000008"/>
    <n v="9.1430000000000007"/>
    <n v="8.19"/>
    <n v="8.4079999999999995"/>
    <n v="9.548"/>
    <n v="7.819"/>
    <n v="8.3989999999999991"/>
    <n v="9.8952120000000008"/>
    <n v="9.6360499999999991"/>
    <n v="8.5101744396450005"/>
    <n v="8.7444485884799992"/>
    <n v="10.02717"/>
    <n v="10.168264000000001"/>
    <n v="89.316999999999993"/>
    <n v="109.26"/>
    <n v="113.29300000000001"/>
    <n v="152.077"/>
    <n v="148.822"/>
    <n v="308.161"/>
    <n v="209.76400000000001"/>
    <n v="76.194000000000003"/>
    <n v="118.905"/>
    <n v="33.066000000000003"/>
    <n v="204.08699999999999"/>
    <n v="185.196"/>
    <n v="98.42"/>
    <n v="197.93600000000001"/>
    <n v="190.284682"/>
    <n v="205.97528"/>
    <n v="143.56373769473501"/>
    <n v="148.78549601735199"/>
    <n v="181.593435"/>
    <n v="186.59354200000001"/>
    <n v="0.44767333333333298"/>
    <n v="9.8952120000000008"/>
    <n v="190.284682"/>
  </r>
  <r>
    <x v="2"/>
    <n v="318822"/>
    <x v="12"/>
    <n v="0.317"/>
    <n v="0.41366666666666602"/>
    <n v="0.358333333333333"/>
    <n v="0.40766666666666601"/>
    <n v="0.34233333333333299"/>
    <n v="0.46600000000000003"/>
    <n v="0.50566666666666604"/>
    <n v="0.41799999999999998"/>
    <n v="0.41466666666666602"/>
    <n v="0.38366666666666599"/>
    <n v="0.30866666666666598"/>
    <n v="0.44600000000000001"/>
    <n v="0.36166666666666603"/>
    <n v="0.34599999999999997"/>
    <n v="0.44767333333333298"/>
    <n v="0.479866666666666"/>
    <n v="0.38587481460066603"/>
    <n v="0.40519761980466601"/>
    <n v="0.45209666666666598"/>
    <n v="0.46069066666666603"/>
    <n v="8.02"/>
    <n v="8.077"/>
    <n v="7.8810000000000002"/>
    <n v="9.1430000000000007"/>
    <n v="8.1359999999999992"/>
    <n v="9.4429999999999996"/>
    <n v="9.7739999999999991"/>
    <n v="8.4120000000000008"/>
    <n v="9.1430000000000007"/>
    <n v="8.19"/>
    <n v="8.4079999999999995"/>
    <n v="9.548"/>
    <n v="7.819"/>
    <n v="8.3989999999999991"/>
    <n v="9.8952120000000008"/>
    <n v="9.6360499999999991"/>
    <n v="8.5101744396450005"/>
    <n v="8.7444485884799992"/>
    <n v="10.02717"/>
    <n v="10.168264000000001"/>
    <n v="89.316999999999993"/>
    <n v="109.26"/>
    <n v="113.29300000000001"/>
    <n v="152.077"/>
    <n v="148.822"/>
    <n v="308.161"/>
    <n v="209.76400000000001"/>
    <n v="76.194000000000003"/>
    <n v="118.905"/>
    <n v="33.066000000000003"/>
    <n v="204.08699999999999"/>
    <n v="185.196"/>
    <n v="98.42"/>
    <n v="197.93600000000001"/>
    <n v="190.284682"/>
    <n v="205.97528"/>
    <n v="143.56373769473501"/>
    <n v="148.78549601735199"/>
    <n v="181.593435"/>
    <n v="186.59354200000001"/>
    <n v="0.38587481460066603"/>
    <n v="8.5101744396450005"/>
    <n v="143.56373769473501"/>
  </r>
  <r>
    <x v="3"/>
    <n v="193379"/>
    <x v="12"/>
    <n v="0.317"/>
    <n v="0.41366666666666602"/>
    <n v="0.358333333333333"/>
    <n v="0.40766666666666601"/>
    <n v="0.34233333333333299"/>
    <n v="0.46600000000000003"/>
    <n v="0.50566666666666604"/>
    <n v="0.41799999999999998"/>
    <n v="0.41466666666666602"/>
    <n v="0.38366666666666599"/>
    <n v="0.30866666666666598"/>
    <n v="0.44600000000000001"/>
    <n v="0.36166666666666603"/>
    <n v="0.34599999999999997"/>
    <n v="0.44767333333333298"/>
    <n v="0.479866666666666"/>
    <n v="0.38587481460066603"/>
    <n v="0.40519761980466601"/>
    <n v="0.45209666666666598"/>
    <n v="0.46069066666666603"/>
    <n v="8.02"/>
    <n v="8.077"/>
    <n v="7.8810000000000002"/>
    <n v="9.1430000000000007"/>
    <n v="8.1359999999999992"/>
    <n v="9.4429999999999996"/>
    <n v="9.7739999999999991"/>
    <n v="8.4120000000000008"/>
    <n v="9.1430000000000007"/>
    <n v="8.19"/>
    <n v="8.4079999999999995"/>
    <n v="9.548"/>
    <n v="7.819"/>
    <n v="8.3989999999999991"/>
    <n v="9.8952120000000008"/>
    <n v="9.6360499999999991"/>
    <n v="8.5101744396450005"/>
    <n v="8.7444485884799992"/>
    <n v="10.02717"/>
    <n v="10.168264000000001"/>
    <n v="89.316999999999993"/>
    <n v="109.26"/>
    <n v="113.29300000000001"/>
    <n v="152.077"/>
    <n v="148.822"/>
    <n v="308.161"/>
    <n v="209.76400000000001"/>
    <n v="76.194000000000003"/>
    <n v="118.905"/>
    <n v="33.066000000000003"/>
    <n v="204.08699999999999"/>
    <n v="185.196"/>
    <n v="98.42"/>
    <n v="197.93600000000001"/>
    <n v="190.284682"/>
    <n v="205.97528"/>
    <n v="143.56373769473501"/>
    <n v="148.78549601735199"/>
    <n v="181.593435"/>
    <n v="186.59354200000001"/>
    <n v="0.45209666666666598"/>
    <n v="10.02717"/>
    <n v="181.593435"/>
  </r>
  <r>
    <x v="4"/>
    <n v="100704"/>
    <x v="12"/>
    <n v="0.317"/>
    <n v="0.41366666666666602"/>
    <n v="0.358333333333333"/>
    <n v="0.40766666666666601"/>
    <n v="0.34233333333333299"/>
    <n v="0.46600000000000003"/>
    <n v="0.50566666666666604"/>
    <n v="0.41799999999999998"/>
    <n v="0.41466666666666602"/>
    <n v="0.38366666666666599"/>
    <n v="0.30866666666666598"/>
    <n v="0.44600000000000001"/>
    <n v="0.36166666666666603"/>
    <n v="0.34599999999999997"/>
    <n v="0.44767333333333298"/>
    <n v="0.479866666666666"/>
    <n v="0.38587481460066603"/>
    <n v="0.40519761980466601"/>
    <n v="0.45209666666666598"/>
    <n v="0.46069066666666603"/>
    <n v="8.02"/>
    <n v="8.077"/>
    <n v="7.8810000000000002"/>
    <n v="9.1430000000000007"/>
    <n v="8.1359999999999992"/>
    <n v="9.4429999999999996"/>
    <n v="9.7739999999999991"/>
    <n v="8.4120000000000008"/>
    <n v="9.1430000000000007"/>
    <n v="8.19"/>
    <n v="8.4079999999999995"/>
    <n v="9.548"/>
    <n v="7.819"/>
    <n v="8.3989999999999991"/>
    <n v="9.8952120000000008"/>
    <n v="9.6360499999999991"/>
    <n v="8.5101744396450005"/>
    <n v="8.7444485884799992"/>
    <n v="10.02717"/>
    <n v="10.168264000000001"/>
    <n v="89.316999999999993"/>
    <n v="109.26"/>
    <n v="113.29300000000001"/>
    <n v="152.077"/>
    <n v="148.822"/>
    <n v="308.161"/>
    <n v="209.76400000000001"/>
    <n v="76.194000000000003"/>
    <n v="118.905"/>
    <n v="33.066000000000003"/>
    <n v="204.08699999999999"/>
    <n v="185.196"/>
    <n v="98.42"/>
    <n v="197.93600000000001"/>
    <n v="190.284682"/>
    <n v="205.97528"/>
    <n v="143.56373769473501"/>
    <n v="148.78549601735199"/>
    <n v="181.593435"/>
    <n v="186.59354200000001"/>
    <n v="0.46069066666666603"/>
    <n v="10.168264000000001"/>
    <n v="186.59354200000001"/>
  </r>
  <r>
    <x v="0"/>
    <n v="731210"/>
    <x v="13"/>
    <n v="0.56000000000000005"/>
    <n v="0.88766666666666605"/>
    <n v="0.752"/>
    <n v="0.83899999999999997"/>
    <n v="0.72966666666666602"/>
    <n v="0.67666666666666597"/>
    <n v="0.73599999999999999"/>
    <n v="0.77766666666666595"/>
    <n v="0.791333333333333"/>
    <n v="0.73666666666666603"/>
    <n v="0.791333333333333"/>
    <n v="0.83399999999999996"/>
    <n v="0.76266666666666605"/>
    <n v="0.746"/>
    <n v="0.86007199999999995"/>
    <n v="0.76258000000000004"/>
    <n v="0.78323740701733302"/>
    <n v="0.77244190624466602"/>
    <n v="0.86824666666666594"/>
    <n v="0.89432066666666599"/>
    <n v="10.425000000000001"/>
    <n v="12.006"/>
    <n v="11.180999999999999"/>
    <n v="12.531000000000001"/>
    <n v="11.699"/>
    <n v="11.579000000000001"/>
    <n v="13.529"/>
    <n v="11.678000000000001"/>
    <n v="12.814"/>
    <n v="11.669"/>
    <n v="12.499000000000001"/>
    <n v="12.929"/>
    <n v="11.028"/>
    <n v="11.762"/>
    <n v="13.918203999999999"/>
    <n v="13.1835"/>
    <n v="11.995811104638999"/>
    <n v="12.176780023644"/>
    <n v="14.17343"/>
    <n v="14.146212"/>
    <n v="176.42399999999901"/>
    <n v="243.04499999999999"/>
    <n v="296.86"/>
    <n v="271.60899999999998"/>
    <n v="316.22800000000001"/>
    <n v="391.21300000000002"/>
    <n v="333.40699999999998"/>
    <n v="165.98"/>
    <n v="207.05500000000001"/>
    <n v="101.46299999999999"/>
    <n v="537.86400000000003"/>
    <n v="268.947"/>
    <n v="191.97800000000001"/>
    <n v="637.61599999999999"/>
    <n v="384.57896599999998"/>
    <n v="319.54324000000003"/>
    <n v="294.69220760958098"/>
    <n v="284.06157779848002"/>
    <n v="412.05978499999901"/>
    <n v="357.87660399999999"/>
    <n v="0.77244190624466602"/>
    <n v="12.176780023644"/>
    <n v="284.06157779848002"/>
  </r>
  <r>
    <x v="1"/>
    <n v="397326"/>
    <x v="13"/>
    <n v="0.56000000000000005"/>
    <n v="0.88766666666666605"/>
    <n v="0.752"/>
    <n v="0.83899999999999997"/>
    <n v="0.72966666666666602"/>
    <n v="0.67666666666666597"/>
    <n v="0.73599999999999999"/>
    <n v="0.77766666666666595"/>
    <n v="0.791333333333333"/>
    <n v="0.73666666666666603"/>
    <n v="0.791333333333333"/>
    <n v="0.83399999999999996"/>
    <n v="0.76266666666666605"/>
    <n v="0.746"/>
    <n v="0.86007199999999995"/>
    <n v="0.76258000000000004"/>
    <n v="0.78323740701733302"/>
    <n v="0.77244190624466602"/>
    <n v="0.86824666666666594"/>
    <n v="0.89432066666666599"/>
    <n v="10.425000000000001"/>
    <n v="12.006"/>
    <n v="11.180999999999999"/>
    <n v="12.531000000000001"/>
    <n v="11.699"/>
    <n v="11.579000000000001"/>
    <n v="13.529"/>
    <n v="11.678000000000001"/>
    <n v="12.814"/>
    <n v="11.669"/>
    <n v="12.499000000000001"/>
    <n v="12.929"/>
    <n v="11.028"/>
    <n v="11.762"/>
    <n v="13.918203999999999"/>
    <n v="13.1835"/>
    <n v="11.995811104638999"/>
    <n v="12.176780023644"/>
    <n v="14.17343"/>
    <n v="14.146212"/>
    <n v="176.42399999999901"/>
    <n v="243.04499999999999"/>
    <n v="296.86"/>
    <n v="271.60899999999998"/>
    <n v="316.22800000000001"/>
    <n v="391.21300000000002"/>
    <n v="333.40699999999998"/>
    <n v="165.98"/>
    <n v="207.05500000000001"/>
    <n v="101.46299999999999"/>
    <n v="537.86400000000003"/>
    <n v="268.947"/>
    <n v="191.97800000000001"/>
    <n v="637.61599999999999"/>
    <n v="384.57896599999998"/>
    <n v="319.54324000000003"/>
    <n v="294.69220760958098"/>
    <n v="284.06157779848002"/>
    <n v="412.05978499999901"/>
    <n v="357.87660399999999"/>
    <n v="0.86007199999999995"/>
    <n v="13.918203999999999"/>
    <n v="384.57896599999998"/>
  </r>
  <r>
    <x v="2"/>
    <n v="678171"/>
    <x v="13"/>
    <n v="0.56000000000000005"/>
    <n v="0.88766666666666605"/>
    <n v="0.752"/>
    <n v="0.83899999999999997"/>
    <n v="0.72966666666666602"/>
    <n v="0.67666666666666597"/>
    <n v="0.73599999999999999"/>
    <n v="0.77766666666666595"/>
    <n v="0.791333333333333"/>
    <n v="0.73666666666666603"/>
    <n v="0.791333333333333"/>
    <n v="0.83399999999999996"/>
    <n v="0.76266666666666605"/>
    <n v="0.746"/>
    <n v="0.86007199999999995"/>
    <n v="0.76258000000000004"/>
    <n v="0.78323740701733302"/>
    <n v="0.77244190624466602"/>
    <n v="0.86824666666666594"/>
    <n v="0.89432066666666599"/>
    <n v="10.425000000000001"/>
    <n v="12.006"/>
    <n v="11.180999999999999"/>
    <n v="12.531000000000001"/>
    <n v="11.699"/>
    <n v="11.579000000000001"/>
    <n v="13.529"/>
    <n v="11.678000000000001"/>
    <n v="12.814"/>
    <n v="11.669"/>
    <n v="12.499000000000001"/>
    <n v="12.929"/>
    <n v="11.028"/>
    <n v="11.762"/>
    <n v="13.918203999999999"/>
    <n v="13.1835"/>
    <n v="11.995811104638999"/>
    <n v="12.176780023644"/>
    <n v="14.17343"/>
    <n v="14.146212"/>
    <n v="176.42399999999901"/>
    <n v="243.04499999999999"/>
    <n v="296.86"/>
    <n v="271.60899999999998"/>
    <n v="316.22800000000001"/>
    <n v="391.21300000000002"/>
    <n v="333.40699999999998"/>
    <n v="165.98"/>
    <n v="207.05500000000001"/>
    <n v="101.46299999999999"/>
    <n v="537.86400000000003"/>
    <n v="268.947"/>
    <n v="191.97800000000001"/>
    <n v="637.61599999999999"/>
    <n v="384.57896599999998"/>
    <n v="319.54324000000003"/>
    <n v="294.69220760958098"/>
    <n v="284.06157779848002"/>
    <n v="412.05978499999901"/>
    <n v="357.87660399999999"/>
    <n v="0.78323740701733302"/>
    <n v="11.995811104638999"/>
    <n v="294.69220760958098"/>
  </r>
  <r>
    <x v="3"/>
    <n v="408219"/>
    <x v="13"/>
    <n v="0.56000000000000005"/>
    <n v="0.88766666666666605"/>
    <n v="0.752"/>
    <n v="0.83899999999999997"/>
    <n v="0.72966666666666602"/>
    <n v="0.67666666666666597"/>
    <n v="0.73599999999999999"/>
    <n v="0.77766666666666595"/>
    <n v="0.791333333333333"/>
    <n v="0.73666666666666603"/>
    <n v="0.791333333333333"/>
    <n v="0.83399999999999996"/>
    <n v="0.76266666666666605"/>
    <n v="0.746"/>
    <n v="0.86007199999999995"/>
    <n v="0.76258000000000004"/>
    <n v="0.78323740701733302"/>
    <n v="0.77244190624466602"/>
    <n v="0.86824666666666594"/>
    <n v="0.89432066666666599"/>
    <n v="10.425000000000001"/>
    <n v="12.006"/>
    <n v="11.180999999999999"/>
    <n v="12.531000000000001"/>
    <n v="11.699"/>
    <n v="11.579000000000001"/>
    <n v="13.529"/>
    <n v="11.678000000000001"/>
    <n v="12.814"/>
    <n v="11.669"/>
    <n v="12.499000000000001"/>
    <n v="12.929"/>
    <n v="11.028"/>
    <n v="11.762"/>
    <n v="13.918203999999999"/>
    <n v="13.1835"/>
    <n v="11.995811104638999"/>
    <n v="12.176780023644"/>
    <n v="14.17343"/>
    <n v="14.146212"/>
    <n v="176.42399999999901"/>
    <n v="243.04499999999999"/>
    <n v="296.86"/>
    <n v="271.60899999999998"/>
    <n v="316.22800000000001"/>
    <n v="391.21300000000002"/>
    <n v="333.40699999999998"/>
    <n v="165.98"/>
    <n v="207.05500000000001"/>
    <n v="101.46299999999999"/>
    <n v="537.86400000000003"/>
    <n v="268.947"/>
    <n v="191.97800000000001"/>
    <n v="637.61599999999999"/>
    <n v="384.57896599999998"/>
    <n v="319.54324000000003"/>
    <n v="294.69220760958098"/>
    <n v="284.06157779848002"/>
    <n v="412.05978499999901"/>
    <n v="357.87660399999999"/>
    <n v="0.86824666666666594"/>
    <n v="14.17343"/>
    <n v="412.05978499999901"/>
  </r>
  <r>
    <x v="4"/>
    <n v="251515"/>
    <x v="13"/>
    <n v="0.56000000000000005"/>
    <n v="0.88766666666666605"/>
    <n v="0.752"/>
    <n v="0.83899999999999997"/>
    <n v="0.72966666666666602"/>
    <n v="0.67666666666666597"/>
    <n v="0.73599999999999999"/>
    <n v="0.77766666666666595"/>
    <n v="0.791333333333333"/>
    <n v="0.73666666666666603"/>
    <n v="0.791333333333333"/>
    <n v="0.83399999999999996"/>
    <n v="0.76266666666666605"/>
    <n v="0.746"/>
    <n v="0.86007199999999995"/>
    <n v="0.76258000000000004"/>
    <n v="0.78323740701733302"/>
    <n v="0.77244190624466602"/>
    <n v="0.86824666666666594"/>
    <n v="0.89432066666666599"/>
    <n v="10.425000000000001"/>
    <n v="12.006"/>
    <n v="11.180999999999999"/>
    <n v="12.531000000000001"/>
    <n v="11.699"/>
    <n v="11.579000000000001"/>
    <n v="13.529"/>
    <n v="11.678000000000001"/>
    <n v="12.814"/>
    <n v="11.669"/>
    <n v="12.499000000000001"/>
    <n v="12.929"/>
    <n v="11.028"/>
    <n v="11.762"/>
    <n v="13.918203999999999"/>
    <n v="13.1835"/>
    <n v="11.995811104638999"/>
    <n v="12.176780023644"/>
    <n v="14.17343"/>
    <n v="14.146212"/>
    <n v="176.42399999999901"/>
    <n v="243.04499999999999"/>
    <n v="296.86"/>
    <n v="271.60899999999998"/>
    <n v="316.22800000000001"/>
    <n v="391.21300000000002"/>
    <n v="333.40699999999998"/>
    <n v="165.98"/>
    <n v="207.05500000000001"/>
    <n v="101.46299999999999"/>
    <n v="537.86400000000003"/>
    <n v="268.947"/>
    <n v="191.97800000000001"/>
    <n v="637.61599999999999"/>
    <n v="384.57896599999998"/>
    <n v="319.54324000000003"/>
    <n v="294.69220760958098"/>
    <n v="284.06157779848002"/>
    <n v="412.05978499999901"/>
    <n v="357.87660399999999"/>
    <n v="0.89432066666666599"/>
    <n v="14.146212"/>
    <n v="357.87660399999999"/>
  </r>
  <r>
    <x v="0"/>
    <n v="1032651"/>
    <x v="14"/>
    <n v="0.57533333333333303"/>
    <n v="0.74933333333333296"/>
    <n v="0.65066666666666595"/>
    <n v="0.62966666666666604"/>
    <n v="0.63633333333333297"/>
    <n v="0.42966666666666598"/>
    <n v="0.66"/>
    <n v="0.57599999999999996"/>
    <n v="0.76033333333333297"/>
    <n v="0.57999999999999996"/>
    <n v="0.69"/>
    <n v="0.621"/>
    <n v="0.67700000000000005"/>
    <n v="0.68266666666666598"/>
    <n v="0.73202999999999996"/>
    <n v="0.63497666666666597"/>
    <n v="0.64779444410800002"/>
    <n v="0.63790428699066604"/>
    <n v="0.74516000000000004"/>
    <n v="0.73249600000000004"/>
    <n v="12.398"/>
    <n v="14.276999999999999"/>
    <n v="13.497999999999999"/>
    <n v="14.074999999999999"/>
    <n v="13.553000000000001"/>
    <n v="11.045999999999999"/>
    <n v="14.084"/>
    <n v="13.272"/>
    <n v="13.98"/>
    <n v="12.356"/>
    <n v="13.696"/>
    <n v="13.419"/>
    <n v="13.304"/>
    <n v="14.128"/>
    <n v="15.3218219999999"/>
    <n v="13.72583"/>
    <n v="13.661228881788"/>
    <n v="13.654684311965999"/>
    <n v="15.52603"/>
    <n v="15.581963999999999"/>
    <n v="99.186000000000007"/>
    <n v="160.70099999999999"/>
    <n v="211.952"/>
    <n v="222.208"/>
    <n v="241.79900000000001"/>
    <n v="298.04500000000002"/>
    <n v="281.00299999999999"/>
    <n v="136.375"/>
    <n v="201.64"/>
    <n v="78.956999999999994"/>
    <n v="283.53199999999998"/>
    <n v="258.07299999999998"/>
    <n v="124.88200000000001"/>
    <n v="295.13799999999998"/>
    <n v="272.16319399999998"/>
    <n v="272.98651999999998"/>
    <n v="217.733673225226"/>
    <n v="220.46700040491399"/>
    <n v="260.21795500000002"/>
    <n v="265.10152599999998"/>
    <n v="0.63790428699066604"/>
    <n v="13.654684311965999"/>
    <n v="220.46700040491399"/>
  </r>
  <r>
    <x v="1"/>
    <n v="291301"/>
    <x v="14"/>
    <n v="0.57533333333333303"/>
    <n v="0.74933333333333296"/>
    <n v="0.65066666666666595"/>
    <n v="0.62966666666666604"/>
    <n v="0.63633333333333297"/>
    <n v="0.42966666666666598"/>
    <n v="0.66"/>
    <n v="0.57599999999999996"/>
    <n v="0.76033333333333297"/>
    <n v="0.57999999999999996"/>
    <n v="0.69"/>
    <n v="0.621"/>
    <n v="0.67700000000000005"/>
    <n v="0.68266666666666598"/>
    <n v="0.73202999999999996"/>
    <n v="0.63497666666666597"/>
    <n v="0.64779444410800002"/>
    <n v="0.63790428699066604"/>
    <n v="0.74516000000000004"/>
    <n v="0.73249600000000004"/>
    <n v="12.398"/>
    <n v="14.276999999999999"/>
    <n v="13.497999999999999"/>
    <n v="14.074999999999999"/>
    <n v="13.553000000000001"/>
    <n v="11.045999999999999"/>
    <n v="14.084"/>
    <n v="13.272"/>
    <n v="13.98"/>
    <n v="12.356"/>
    <n v="13.696"/>
    <n v="13.419"/>
    <n v="13.304"/>
    <n v="14.128"/>
    <n v="15.3218219999999"/>
    <n v="13.72583"/>
    <n v="13.661228881788"/>
    <n v="13.654684311965999"/>
    <n v="15.52603"/>
    <n v="15.581963999999999"/>
    <n v="99.186000000000007"/>
    <n v="160.70099999999999"/>
    <n v="211.952"/>
    <n v="222.208"/>
    <n v="241.79900000000001"/>
    <n v="298.04500000000002"/>
    <n v="281.00299999999999"/>
    <n v="136.375"/>
    <n v="201.64"/>
    <n v="78.956999999999994"/>
    <n v="283.53199999999998"/>
    <n v="258.07299999999998"/>
    <n v="124.88200000000001"/>
    <n v="295.13799999999998"/>
    <n v="272.16319399999998"/>
    <n v="272.98651999999998"/>
    <n v="217.733673225226"/>
    <n v="220.46700040491399"/>
    <n v="260.21795500000002"/>
    <n v="265.10152599999998"/>
    <n v="0.73202999999999996"/>
    <n v="15.3218219999999"/>
    <n v="272.16319399999998"/>
  </r>
  <r>
    <x v="2"/>
    <n v="810121"/>
    <x v="14"/>
    <n v="0.57533333333333303"/>
    <n v="0.74933333333333296"/>
    <n v="0.65066666666666595"/>
    <n v="0.62966666666666604"/>
    <n v="0.63633333333333297"/>
    <n v="0.42966666666666598"/>
    <n v="0.66"/>
    <n v="0.57599999999999996"/>
    <n v="0.76033333333333297"/>
    <n v="0.57999999999999996"/>
    <n v="0.69"/>
    <n v="0.621"/>
    <n v="0.67700000000000005"/>
    <n v="0.68266666666666598"/>
    <n v="0.73202999999999996"/>
    <n v="0.63497666666666597"/>
    <n v="0.64779444410800002"/>
    <n v="0.63790428699066604"/>
    <n v="0.74516000000000004"/>
    <n v="0.73249600000000004"/>
    <n v="12.398"/>
    <n v="14.276999999999999"/>
    <n v="13.497999999999999"/>
    <n v="14.074999999999999"/>
    <n v="13.553000000000001"/>
    <n v="11.045999999999999"/>
    <n v="14.084"/>
    <n v="13.272"/>
    <n v="13.98"/>
    <n v="12.356"/>
    <n v="13.696"/>
    <n v="13.419"/>
    <n v="13.304"/>
    <n v="14.128"/>
    <n v="15.3218219999999"/>
    <n v="13.72583"/>
    <n v="13.661228881788"/>
    <n v="13.654684311965999"/>
    <n v="15.52603"/>
    <n v="15.581963999999999"/>
    <n v="99.186000000000007"/>
    <n v="160.70099999999999"/>
    <n v="211.952"/>
    <n v="222.208"/>
    <n v="241.79900000000001"/>
    <n v="298.04500000000002"/>
    <n v="281.00299999999999"/>
    <n v="136.375"/>
    <n v="201.64"/>
    <n v="78.956999999999994"/>
    <n v="283.53199999999998"/>
    <n v="258.07299999999998"/>
    <n v="124.88200000000001"/>
    <n v="295.13799999999998"/>
    <n v="272.16319399999998"/>
    <n v="272.98651999999998"/>
    <n v="217.733673225226"/>
    <n v="220.46700040491399"/>
    <n v="260.21795500000002"/>
    <n v="265.10152599999998"/>
    <n v="0.64779444410800002"/>
    <n v="13.661228881788"/>
    <n v="217.733673225226"/>
  </r>
  <r>
    <x v="3"/>
    <n v="502104"/>
    <x v="14"/>
    <n v="0.57533333333333303"/>
    <n v="0.74933333333333296"/>
    <n v="0.65066666666666595"/>
    <n v="0.62966666666666604"/>
    <n v="0.63633333333333297"/>
    <n v="0.42966666666666598"/>
    <n v="0.66"/>
    <n v="0.57599999999999996"/>
    <n v="0.76033333333333297"/>
    <n v="0.57999999999999996"/>
    <n v="0.69"/>
    <n v="0.621"/>
    <n v="0.67700000000000005"/>
    <n v="0.68266666666666598"/>
    <n v="0.73202999999999996"/>
    <n v="0.63497666666666597"/>
    <n v="0.64779444410800002"/>
    <n v="0.63790428699066604"/>
    <n v="0.74516000000000004"/>
    <n v="0.73249600000000004"/>
    <n v="12.398"/>
    <n v="14.276999999999999"/>
    <n v="13.497999999999999"/>
    <n v="14.074999999999999"/>
    <n v="13.553000000000001"/>
    <n v="11.045999999999999"/>
    <n v="14.084"/>
    <n v="13.272"/>
    <n v="13.98"/>
    <n v="12.356"/>
    <n v="13.696"/>
    <n v="13.419"/>
    <n v="13.304"/>
    <n v="14.128"/>
    <n v="15.3218219999999"/>
    <n v="13.72583"/>
    <n v="13.661228881788"/>
    <n v="13.654684311965999"/>
    <n v="15.52603"/>
    <n v="15.581963999999999"/>
    <n v="99.186000000000007"/>
    <n v="160.70099999999999"/>
    <n v="211.952"/>
    <n v="222.208"/>
    <n v="241.79900000000001"/>
    <n v="298.04500000000002"/>
    <n v="281.00299999999999"/>
    <n v="136.375"/>
    <n v="201.64"/>
    <n v="78.956999999999994"/>
    <n v="283.53199999999998"/>
    <n v="258.07299999999998"/>
    <n v="124.88200000000001"/>
    <n v="295.13799999999998"/>
    <n v="272.16319399999998"/>
    <n v="272.98651999999998"/>
    <n v="217.733673225226"/>
    <n v="220.46700040491399"/>
    <n v="260.21795500000002"/>
    <n v="265.10152599999998"/>
    <n v="0.74516000000000004"/>
    <n v="15.52603"/>
    <n v="260.21795500000002"/>
  </r>
  <r>
    <x v="4"/>
    <n v="224956"/>
    <x v="14"/>
    <n v="0.57533333333333303"/>
    <n v="0.74933333333333296"/>
    <n v="0.65066666666666595"/>
    <n v="0.62966666666666604"/>
    <n v="0.63633333333333297"/>
    <n v="0.42966666666666598"/>
    <n v="0.66"/>
    <n v="0.57599999999999996"/>
    <n v="0.76033333333333297"/>
    <n v="0.57999999999999996"/>
    <n v="0.69"/>
    <n v="0.621"/>
    <n v="0.67700000000000005"/>
    <n v="0.68266666666666598"/>
    <n v="0.73202999999999996"/>
    <n v="0.63497666666666597"/>
    <n v="0.64779444410800002"/>
    <n v="0.63790428699066604"/>
    <n v="0.74516000000000004"/>
    <n v="0.73249600000000004"/>
    <n v="12.398"/>
    <n v="14.276999999999999"/>
    <n v="13.497999999999999"/>
    <n v="14.074999999999999"/>
    <n v="13.553000000000001"/>
    <n v="11.045999999999999"/>
    <n v="14.084"/>
    <n v="13.272"/>
    <n v="13.98"/>
    <n v="12.356"/>
    <n v="13.696"/>
    <n v="13.419"/>
    <n v="13.304"/>
    <n v="14.128"/>
    <n v="15.3218219999999"/>
    <n v="13.72583"/>
    <n v="13.661228881788"/>
    <n v="13.654684311965999"/>
    <n v="15.52603"/>
    <n v="15.581963999999999"/>
    <n v="99.186000000000007"/>
    <n v="160.70099999999999"/>
    <n v="211.952"/>
    <n v="222.208"/>
    <n v="241.79900000000001"/>
    <n v="298.04500000000002"/>
    <n v="281.00299999999999"/>
    <n v="136.375"/>
    <n v="201.64"/>
    <n v="78.956999999999994"/>
    <n v="283.53199999999998"/>
    <n v="258.07299999999998"/>
    <n v="124.88200000000001"/>
    <n v="295.13799999999998"/>
    <n v="272.16319399999998"/>
    <n v="272.98651999999998"/>
    <n v="217.733673225226"/>
    <n v="220.46700040491399"/>
    <n v="260.21795500000002"/>
    <n v="265.10152599999998"/>
    <n v="0.73249600000000004"/>
    <n v="15.581963999999999"/>
    <n v="265.10152599999998"/>
  </r>
  <r>
    <x v="0"/>
    <n v="1286855.5"/>
    <x v="15"/>
    <n v="0.67733333333333301"/>
    <n v="0.68966666666666598"/>
    <n v="0.65933333333333299"/>
    <n v="0.75"/>
    <n v="0.74399999999999999"/>
    <n v="0.63566666666666605"/>
    <n v="0.68233333333333301"/>
    <n v="0.72166666666666601"/>
    <n v="0.81033333333333302"/>
    <n v="0.796333333333333"/>
    <n v="0.69766666666666599"/>
    <n v="0.78266666666666596"/>
    <n v="0.68500000000000005"/>
    <n v="0.65266666666666595"/>
    <n v="0.80238733333333301"/>
    <n v="0.70877000000000001"/>
    <n v="0.71070925886233305"/>
    <n v="0.71671762046466603"/>
    <n v="0.81715833333333299"/>
    <n v="0.83074800000000004"/>
    <n v="11.949"/>
    <n v="12.787000000000001"/>
    <n v="12.603"/>
    <n v="13.542999999999999"/>
    <n v="13.342000000000001"/>
    <n v="12.4"/>
    <n v="13.153"/>
    <n v="13.105"/>
    <n v="14.135"/>
    <n v="13.211"/>
    <n v="13.381"/>
    <n v="13.615"/>
    <n v="12.256"/>
    <n v="12.901"/>
    <n v="14.852884"/>
    <n v="13.24699"/>
    <n v="13.060363326156001"/>
    <n v="13.140821454504"/>
    <n v="15.110514999999999"/>
    <n v="15.168322"/>
    <n v="116.218"/>
    <n v="144.529"/>
    <n v="168.27199999999999"/>
    <n v="208.28399999999999"/>
    <n v="203.62"/>
    <n v="415.25700000000001"/>
    <n v="296.83300000000003"/>
    <n v="133.65700000000001"/>
    <n v="176.143"/>
    <n v="111.29"/>
    <n v="298.51499999999999"/>
    <n v="277.85000000000002"/>
    <n v="122.726"/>
    <n v="317.10500000000002"/>
    <n v="275.30165799999997"/>
    <n v="293.84992999999997"/>
    <n v="202.95251654044301"/>
    <n v="212.249083308302"/>
    <n v="279.15816000000001"/>
    <n v="268.50553200000002"/>
    <n v="0.71671762046466603"/>
    <n v="13.140821454504"/>
    <n v="212.249083308302"/>
  </r>
  <r>
    <x v="1"/>
    <n v="186511.03"/>
    <x v="15"/>
    <n v="0.67733333333333301"/>
    <n v="0.68966666666666598"/>
    <n v="0.65933333333333299"/>
    <n v="0.75"/>
    <n v="0.74399999999999999"/>
    <n v="0.63566666666666605"/>
    <n v="0.68233333333333301"/>
    <n v="0.72166666666666601"/>
    <n v="0.81033333333333302"/>
    <n v="0.796333333333333"/>
    <n v="0.69766666666666599"/>
    <n v="0.78266666666666596"/>
    <n v="0.68500000000000005"/>
    <n v="0.65266666666666595"/>
    <n v="0.80238733333333301"/>
    <n v="0.70877000000000001"/>
    <n v="0.71070925886233305"/>
    <n v="0.71671762046466603"/>
    <n v="0.81715833333333299"/>
    <n v="0.83074800000000004"/>
    <n v="11.949"/>
    <n v="12.787000000000001"/>
    <n v="12.603"/>
    <n v="13.542999999999999"/>
    <n v="13.342000000000001"/>
    <n v="12.4"/>
    <n v="13.153"/>
    <n v="13.105"/>
    <n v="14.135"/>
    <n v="13.211"/>
    <n v="13.381"/>
    <n v="13.615"/>
    <n v="12.256"/>
    <n v="12.901"/>
    <n v="14.852884"/>
    <n v="13.24699"/>
    <n v="13.060363326156001"/>
    <n v="13.140821454504"/>
    <n v="15.110514999999999"/>
    <n v="15.168322"/>
    <n v="116.218"/>
    <n v="144.529"/>
    <n v="168.27199999999999"/>
    <n v="208.28399999999999"/>
    <n v="203.62"/>
    <n v="415.25700000000001"/>
    <n v="296.83300000000003"/>
    <n v="133.65700000000001"/>
    <n v="176.143"/>
    <n v="111.29"/>
    <n v="298.51499999999999"/>
    <n v="277.85000000000002"/>
    <n v="122.726"/>
    <n v="317.10500000000002"/>
    <n v="275.30165799999997"/>
    <n v="293.84992999999997"/>
    <n v="202.95251654044301"/>
    <n v="212.249083308302"/>
    <n v="279.15816000000001"/>
    <n v="268.50553200000002"/>
    <n v="0.80238733333333301"/>
    <n v="14.852884"/>
    <n v="275.30165799999997"/>
  </r>
  <r>
    <x v="2"/>
    <n v="813295"/>
    <x v="15"/>
    <n v="0.67733333333333301"/>
    <n v="0.68966666666666598"/>
    <n v="0.65933333333333299"/>
    <n v="0.75"/>
    <n v="0.74399999999999999"/>
    <n v="0.63566666666666605"/>
    <n v="0.68233333333333301"/>
    <n v="0.72166666666666601"/>
    <n v="0.81033333333333302"/>
    <n v="0.796333333333333"/>
    <n v="0.69766666666666599"/>
    <n v="0.78266666666666596"/>
    <n v="0.68500000000000005"/>
    <n v="0.65266666666666595"/>
    <n v="0.80238733333333301"/>
    <n v="0.70877000000000001"/>
    <n v="0.71070925886233305"/>
    <n v="0.71671762046466603"/>
    <n v="0.81715833333333299"/>
    <n v="0.83074800000000004"/>
    <n v="11.949"/>
    <n v="12.787000000000001"/>
    <n v="12.603"/>
    <n v="13.542999999999999"/>
    <n v="13.342000000000001"/>
    <n v="12.4"/>
    <n v="13.153"/>
    <n v="13.105"/>
    <n v="14.135"/>
    <n v="13.211"/>
    <n v="13.381"/>
    <n v="13.615"/>
    <n v="12.256"/>
    <n v="12.901"/>
    <n v="14.852884"/>
    <n v="13.24699"/>
    <n v="13.060363326156001"/>
    <n v="13.140821454504"/>
    <n v="15.110514999999999"/>
    <n v="15.168322"/>
    <n v="116.218"/>
    <n v="144.529"/>
    <n v="168.27199999999999"/>
    <n v="208.28399999999999"/>
    <n v="203.62"/>
    <n v="415.25700000000001"/>
    <n v="296.83300000000003"/>
    <n v="133.65700000000001"/>
    <n v="176.143"/>
    <n v="111.29"/>
    <n v="298.51499999999999"/>
    <n v="277.85000000000002"/>
    <n v="122.726"/>
    <n v="317.10500000000002"/>
    <n v="275.30165799999997"/>
    <n v="293.84992999999997"/>
    <n v="202.95251654044301"/>
    <n v="212.249083308302"/>
    <n v="279.15816000000001"/>
    <n v="268.50553200000002"/>
    <n v="0.71070925886233305"/>
    <n v="13.060363326156001"/>
    <n v="202.95251654044301"/>
  </r>
  <r>
    <x v="3"/>
    <n v="604043.30000000005"/>
    <x v="15"/>
    <n v="0.67733333333333301"/>
    <n v="0.68966666666666598"/>
    <n v="0.65933333333333299"/>
    <n v="0.75"/>
    <n v="0.74399999999999999"/>
    <n v="0.63566666666666605"/>
    <n v="0.68233333333333301"/>
    <n v="0.72166666666666601"/>
    <n v="0.81033333333333302"/>
    <n v="0.796333333333333"/>
    <n v="0.69766666666666599"/>
    <n v="0.78266666666666596"/>
    <n v="0.68500000000000005"/>
    <n v="0.65266666666666595"/>
    <n v="0.80238733333333301"/>
    <n v="0.70877000000000001"/>
    <n v="0.71070925886233305"/>
    <n v="0.71671762046466603"/>
    <n v="0.81715833333333299"/>
    <n v="0.83074800000000004"/>
    <n v="11.949"/>
    <n v="12.787000000000001"/>
    <n v="12.603"/>
    <n v="13.542999999999999"/>
    <n v="13.342000000000001"/>
    <n v="12.4"/>
    <n v="13.153"/>
    <n v="13.105"/>
    <n v="14.135"/>
    <n v="13.211"/>
    <n v="13.381"/>
    <n v="13.615"/>
    <n v="12.256"/>
    <n v="12.901"/>
    <n v="14.852884"/>
    <n v="13.24699"/>
    <n v="13.060363326156001"/>
    <n v="13.140821454504"/>
    <n v="15.110514999999999"/>
    <n v="15.168322"/>
    <n v="116.218"/>
    <n v="144.529"/>
    <n v="168.27199999999999"/>
    <n v="208.28399999999999"/>
    <n v="203.62"/>
    <n v="415.25700000000001"/>
    <n v="296.83300000000003"/>
    <n v="133.65700000000001"/>
    <n v="176.143"/>
    <n v="111.29"/>
    <n v="298.51499999999999"/>
    <n v="277.85000000000002"/>
    <n v="122.726"/>
    <n v="317.10500000000002"/>
    <n v="275.30165799999997"/>
    <n v="293.84992999999997"/>
    <n v="202.95251654044301"/>
    <n v="212.249083308302"/>
    <n v="279.15816000000001"/>
    <n v="268.50553200000002"/>
    <n v="0.81715833333333299"/>
    <n v="15.110514999999999"/>
    <n v="279.15816000000001"/>
  </r>
  <r>
    <x v="4"/>
    <n v="162598.88"/>
    <x v="15"/>
    <n v="0.67733333333333301"/>
    <n v="0.68966666666666598"/>
    <n v="0.65933333333333299"/>
    <n v="0.75"/>
    <n v="0.74399999999999999"/>
    <n v="0.63566666666666605"/>
    <n v="0.68233333333333301"/>
    <n v="0.72166666666666601"/>
    <n v="0.81033333333333302"/>
    <n v="0.796333333333333"/>
    <n v="0.69766666666666599"/>
    <n v="0.78266666666666596"/>
    <n v="0.68500000000000005"/>
    <n v="0.65266666666666595"/>
    <n v="0.80238733333333301"/>
    <n v="0.70877000000000001"/>
    <n v="0.71070925886233305"/>
    <n v="0.71671762046466603"/>
    <n v="0.81715833333333299"/>
    <n v="0.83074800000000004"/>
    <n v="11.949"/>
    <n v="12.787000000000001"/>
    <n v="12.603"/>
    <n v="13.542999999999999"/>
    <n v="13.342000000000001"/>
    <n v="12.4"/>
    <n v="13.153"/>
    <n v="13.105"/>
    <n v="14.135"/>
    <n v="13.211"/>
    <n v="13.381"/>
    <n v="13.615"/>
    <n v="12.256"/>
    <n v="12.901"/>
    <n v="14.852884"/>
    <n v="13.24699"/>
    <n v="13.060363326156001"/>
    <n v="13.140821454504"/>
    <n v="15.110514999999999"/>
    <n v="15.168322"/>
    <n v="116.218"/>
    <n v="144.529"/>
    <n v="168.27199999999999"/>
    <n v="208.28399999999999"/>
    <n v="203.62"/>
    <n v="415.25700000000001"/>
    <n v="296.83300000000003"/>
    <n v="133.65700000000001"/>
    <n v="176.143"/>
    <n v="111.29"/>
    <n v="298.51499999999999"/>
    <n v="277.85000000000002"/>
    <n v="122.726"/>
    <n v="317.10500000000002"/>
    <n v="275.30165799999997"/>
    <n v="293.84992999999997"/>
    <n v="202.95251654044301"/>
    <n v="212.249083308302"/>
    <n v="279.15816000000001"/>
    <n v="268.50553200000002"/>
    <n v="0.83074800000000004"/>
    <n v="15.168322"/>
    <n v="268.50553200000002"/>
  </r>
  <r>
    <x v="0"/>
    <n v="527528"/>
    <x v="16"/>
    <n v="0.52900000000000003"/>
    <n v="0.62433333333333296"/>
    <n v="0.55300000000000005"/>
    <n v="0.60233333333333305"/>
    <n v="0.54300000000000004"/>
    <n v="0.55366666666666597"/>
    <n v="0.50933333333333297"/>
    <n v="0.62133333333333296"/>
    <n v="0.579666666666666"/>
    <n v="0.63700000000000001"/>
    <n v="0.52700000000000002"/>
    <n v="0.52666666666666595"/>
    <n v="0.59033333333333304"/>
    <n v="0.56799999999999995"/>
    <n v="0.61333799999999905"/>
    <n v="0.52149000000000001"/>
    <n v="0.56464592560733295"/>
    <n v="0.56348714400533295"/>
    <n v="0.64337333333333302"/>
    <n v="0.64000800000000002"/>
    <n v="12.029"/>
    <n v="12.95"/>
    <n v="12.813000000000001"/>
    <n v="14.811999999999999"/>
    <n v="13.553000000000001"/>
    <n v="12.904"/>
    <n v="13.544"/>
    <n v="14.016999999999999"/>
    <n v="14.526"/>
    <n v="14.036"/>
    <n v="13.753"/>
    <n v="13.768000000000001"/>
    <n v="12.606999999999999"/>
    <n v="13.657"/>
    <n v="15.267525999999901"/>
    <n v="13.627179999999999"/>
    <n v="13.581943325872"/>
    <n v="13.702234312530001"/>
    <n v="15.717644999999999"/>
    <n v="15.805403999999999"/>
    <n v="28.504999999999999"/>
    <n v="90.64"/>
    <n v="79.156999999999996"/>
    <n v="88.730999999999995"/>
    <n v="87.823999999999998"/>
    <n v="390.32799999999997"/>
    <n v="197.42"/>
    <n v="63.893999999999998"/>
    <n v="106.185"/>
    <n v="47.271000000000001"/>
    <n v="222.21799999999999"/>
    <n v="164.512"/>
    <n v="47.393000000000001"/>
    <n v="249.02099999999999"/>
    <n v="172.983656"/>
    <n v="194.48505"/>
    <n v="106.39349657541"/>
    <n v="114.313740324048"/>
    <n v="187.78010499999999"/>
    <n v="158.88526400000001"/>
    <n v="0.56348714400533295"/>
    <n v="13.702234312530001"/>
    <n v="114.313740324048"/>
  </r>
  <r>
    <x v="1"/>
    <n v="124092"/>
    <x v="16"/>
    <n v="0.52900000000000003"/>
    <n v="0.62433333333333296"/>
    <n v="0.55300000000000005"/>
    <n v="0.60233333333333305"/>
    <n v="0.54300000000000004"/>
    <n v="0.55366666666666597"/>
    <n v="0.50933333333333297"/>
    <n v="0.62133333333333296"/>
    <n v="0.579666666666666"/>
    <n v="0.63700000000000001"/>
    <n v="0.52700000000000002"/>
    <n v="0.52666666666666595"/>
    <n v="0.59033333333333304"/>
    <n v="0.56799999999999995"/>
    <n v="0.61333799999999905"/>
    <n v="0.52149000000000001"/>
    <n v="0.56464592560733295"/>
    <n v="0.56348714400533295"/>
    <n v="0.64337333333333302"/>
    <n v="0.64000800000000002"/>
    <n v="12.029"/>
    <n v="12.95"/>
    <n v="12.813000000000001"/>
    <n v="14.811999999999999"/>
    <n v="13.553000000000001"/>
    <n v="12.904"/>
    <n v="13.544"/>
    <n v="14.016999999999999"/>
    <n v="14.526"/>
    <n v="14.036"/>
    <n v="13.753"/>
    <n v="13.768000000000001"/>
    <n v="12.606999999999999"/>
    <n v="13.657"/>
    <n v="15.267525999999901"/>
    <n v="13.627179999999999"/>
    <n v="13.581943325872"/>
    <n v="13.702234312530001"/>
    <n v="15.717644999999999"/>
    <n v="15.805403999999999"/>
    <n v="28.504999999999999"/>
    <n v="90.64"/>
    <n v="79.156999999999996"/>
    <n v="88.730999999999995"/>
    <n v="87.823999999999998"/>
    <n v="390.32799999999997"/>
    <n v="197.42"/>
    <n v="63.893999999999998"/>
    <n v="106.185"/>
    <n v="47.271000000000001"/>
    <n v="222.21799999999999"/>
    <n v="164.512"/>
    <n v="47.393000000000001"/>
    <n v="249.02099999999999"/>
    <n v="172.983656"/>
    <n v="194.48505"/>
    <n v="106.39349657541"/>
    <n v="114.313740324048"/>
    <n v="187.78010499999999"/>
    <n v="158.88526400000001"/>
    <n v="0.61333799999999905"/>
    <n v="15.267525999999901"/>
    <n v="172.983656"/>
  </r>
  <r>
    <x v="2"/>
    <n v="480759"/>
    <x v="16"/>
    <n v="0.52900000000000003"/>
    <n v="0.62433333333333296"/>
    <n v="0.55300000000000005"/>
    <n v="0.60233333333333305"/>
    <n v="0.54300000000000004"/>
    <n v="0.55366666666666597"/>
    <n v="0.50933333333333297"/>
    <n v="0.62133333333333296"/>
    <n v="0.579666666666666"/>
    <n v="0.63700000000000001"/>
    <n v="0.52700000000000002"/>
    <n v="0.52666666666666595"/>
    <n v="0.59033333333333304"/>
    <n v="0.56799999999999995"/>
    <n v="0.61333799999999905"/>
    <n v="0.52149000000000001"/>
    <n v="0.56464592560733295"/>
    <n v="0.56348714400533295"/>
    <n v="0.64337333333333302"/>
    <n v="0.64000800000000002"/>
    <n v="12.029"/>
    <n v="12.95"/>
    <n v="12.813000000000001"/>
    <n v="14.811999999999999"/>
    <n v="13.553000000000001"/>
    <n v="12.904"/>
    <n v="13.544"/>
    <n v="14.016999999999999"/>
    <n v="14.526"/>
    <n v="14.036"/>
    <n v="13.753"/>
    <n v="13.768000000000001"/>
    <n v="12.606999999999999"/>
    <n v="13.657"/>
    <n v="15.267525999999901"/>
    <n v="13.627179999999999"/>
    <n v="13.581943325872"/>
    <n v="13.702234312530001"/>
    <n v="15.717644999999999"/>
    <n v="15.805403999999999"/>
    <n v="28.504999999999999"/>
    <n v="90.64"/>
    <n v="79.156999999999996"/>
    <n v="88.730999999999995"/>
    <n v="87.823999999999998"/>
    <n v="390.32799999999997"/>
    <n v="197.42"/>
    <n v="63.893999999999998"/>
    <n v="106.185"/>
    <n v="47.271000000000001"/>
    <n v="222.21799999999999"/>
    <n v="164.512"/>
    <n v="47.393000000000001"/>
    <n v="249.02099999999999"/>
    <n v="172.983656"/>
    <n v="194.48505"/>
    <n v="106.39349657541"/>
    <n v="114.313740324048"/>
    <n v="187.78010499999999"/>
    <n v="158.88526400000001"/>
    <n v="0.56464592560733295"/>
    <n v="13.581943325872"/>
    <n v="106.39349657541"/>
  </r>
  <r>
    <x v="3"/>
    <n v="405824"/>
    <x v="16"/>
    <n v="0.52900000000000003"/>
    <n v="0.62433333333333296"/>
    <n v="0.55300000000000005"/>
    <n v="0.60233333333333305"/>
    <n v="0.54300000000000004"/>
    <n v="0.55366666666666597"/>
    <n v="0.50933333333333297"/>
    <n v="0.62133333333333296"/>
    <n v="0.579666666666666"/>
    <n v="0.63700000000000001"/>
    <n v="0.52700000000000002"/>
    <n v="0.52666666666666595"/>
    <n v="0.59033333333333304"/>
    <n v="0.56799999999999995"/>
    <n v="0.61333799999999905"/>
    <n v="0.52149000000000001"/>
    <n v="0.56464592560733295"/>
    <n v="0.56348714400533295"/>
    <n v="0.64337333333333302"/>
    <n v="0.64000800000000002"/>
    <n v="12.029"/>
    <n v="12.95"/>
    <n v="12.813000000000001"/>
    <n v="14.811999999999999"/>
    <n v="13.553000000000001"/>
    <n v="12.904"/>
    <n v="13.544"/>
    <n v="14.016999999999999"/>
    <n v="14.526"/>
    <n v="14.036"/>
    <n v="13.753"/>
    <n v="13.768000000000001"/>
    <n v="12.606999999999999"/>
    <n v="13.657"/>
    <n v="15.267525999999901"/>
    <n v="13.627179999999999"/>
    <n v="13.581943325872"/>
    <n v="13.702234312530001"/>
    <n v="15.717644999999999"/>
    <n v="15.805403999999999"/>
    <n v="28.504999999999999"/>
    <n v="90.64"/>
    <n v="79.156999999999996"/>
    <n v="88.730999999999995"/>
    <n v="87.823999999999998"/>
    <n v="390.32799999999997"/>
    <n v="197.42"/>
    <n v="63.893999999999998"/>
    <n v="106.185"/>
    <n v="47.271000000000001"/>
    <n v="222.21799999999999"/>
    <n v="164.512"/>
    <n v="47.393000000000001"/>
    <n v="249.02099999999999"/>
    <n v="172.983656"/>
    <n v="194.48505"/>
    <n v="106.39349657541"/>
    <n v="114.313740324048"/>
    <n v="187.78010499999999"/>
    <n v="158.88526400000001"/>
    <n v="0.64337333333333302"/>
    <n v="15.717644999999999"/>
    <n v="187.78010499999999"/>
  </r>
  <r>
    <x v="4"/>
    <n v="86865"/>
    <x v="16"/>
    <n v="0.52900000000000003"/>
    <n v="0.62433333333333296"/>
    <n v="0.55300000000000005"/>
    <n v="0.60233333333333305"/>
    <n v="0.54300000000000004"/>
    <n v="0.55366666666666597"/>
    <n v="0.50933333333333297"/>
    <n v="0.62133333333333296"/>
    <n v="0.579666666666666"/>
    <n v="0.63700000000000001"/>
    <n v="0.52700000000000002"/>
    <n v="0.52666666666666595"/>
    <n v="0.59033333333333304"/>
    <n v="0.56799999999999995"/>
    <n v="0.61333799999999905"/>
    <n v="0.52149000000000001"/>
    <n v="0.56464592560733295"/>
    <n v="0.56348714400533295"/>
    <n v="0.64337333333333302"/>
    <n v="0.64000800000000002"/>
    <n v="12.029"/>
    <n v="12.95"/>
    <n v="12.813000000000001"/>
    <n v="14.811999999999999"/>
    <n v="13.553000000000001"/>
    <n v="12.904"/>
    <n v="13.544"/>
    <n v="14.016999999999999"/>
    <n v="14.526"/>
    <n v="14.036"/>
    <n v="13.753"/>
    <n v="13.768000000000001"/>
    <n v="12.606999999999999"/>
    <n v="13.657"/>
    <n v="15.267525999999901"/>
    <n v="13.627179999999999"/>
    <n v="13.581943325872"/>
    <n v="13.702234312530001"/>
    <n v="15.717644999999999"/>
    <n v="15.805403999999999"/>
    <n v="28.504999999999999"/>
    <n v="90.64"/>
    <n v="79.156999999999996"/>
    <n v="88.730999999999995"/>
    <n v="87.823999999999998"/>
    <n v="390.32799999999997"/>
    <n v="197.42"/>
    <n v="63.893999999999998"/>
    <n v="106.185"/>
    <n v="47.271000000000001"/>
    <n v="222.21799999999999"/>
    <n v="164.512"/>
    <n v="47.393000000000001"/>
    <n v="249.02099999999999"/>
    <n v="172.983656"/>
    <n v="194.48505"/>
    <n v="106.39349657541"/>
    <n v="114.313740324048"/>
    <n v="187.78010499999999"/>
    <n v="158.88526400000001"/>
    <n v="0.64000800000000002"/>
    <n v="15.805403999999999"/>
    <n v="158.88526400000001"/>
  </r>
  <r>
    <x v="0"/>
    <n v="692572"/>
    <x v="17"/>
    <n v="0.59099999999999997"/>
    <n v="0.68400000000000005"/>
    <n v="0.63266666666666604"/>
    <n v="0.60533333333333295"/>
    <n v="0.63933333333333298"/>
    <n v="0.67866666666666597"/>
    <n v="0.52966666666666595"/>
    <n v="0.63200000000000001"/>
    <n v="0.69566666666666599"/>
    <n v="0.6"/>
    <n v="0.61133333333333295"/>
    <n v="0.62366666666666604"/>
    <n v="0.60733333333333295"/>
    <n v="0.61366666666666603"/>
    <n v="0.684782"/>
    <n v="0.56780333333333299"/>
    <n v="0.61569888853566601"/>
    <n v="0.60840428699266602"/>
    <n v="0.685771666666666"/>
    <n v="0.69911999999999996"/>
    <n v="11.327999999999999"/>
    <n v="12.199"/>
    <n v="12.067"/>
    <n v="13.146000000000001"/>
    <n v="12.43"/>
    <n v="12.363"/>
    <n v="11.129"/>
    <n v="13.284000000000001"/>
    <n v="14.565"/>
    <n v="13.254"/>
    <n v="12.343999999999999"/>
    <n v="12.895"/>
    <n v="11.907999999999999"/>
    <n v="11.952999999999999"/>
    <n v="13.7830499999999"/>
    <n v="11.77055"/>
    <n v="12.377264437393"/>
    <n v="12.399141453716"/>
    <n v="14.073815"/>
    <n v="14.316636000000001"/>
    <n v="99.957999999999998"/>
    <n v="125.03"/>
    <n v="150"/>
    <n v="115.291"/>
    <n v="128.94900000000001"/>
    <n v="469.55700000000002"/>
    <n v="278.47500000000002"/>
    <n v="120.566"/>
    <n v="182.197"/>
    <n v="124.297"/>
    <n v="341.35300000000001"/>
    <n v="188.745"/>
    <n v="111.283"/>
    <n v="376.61399999999998"/>
    <n v="253.88019600000001"/>
    <n v="258.48174"/>
    <n v="160.134553194153"/>
    <n v="169.20731191971601"/>
    <n v="290.41948000000002"/>
    <n v="225.73591200000001"/>
    <n v="0.60840428699266602"/>
    <n v="12.399141453716"/>
    <n v="169.20731191971601"/>
  </r>
  <r>
    <x v="1"/>
    <n v="228422.65"/>
    <x v="17"/>
    <n v="0.59099999999999997"/>
    <n v="0.68400000000000005"/>
    <n v="0.63266666666666604"/>
    <n v="0.60533333333333295"/>
    <n v="0.63933333333333298"/>
    <n v="0.67866666666666597"/>
    <n v="0.52966666666666595"/>
    <n v="0.63200000000000001"/>
    <n v="0.69566666666666599"/>
    <n v="0.6"/>
    <n v="0.61133333333333295"/>
    <n v="0.62366666666666604"/>
    <n v="0.60733333333333295"/>
    <n v="0.61366666666666603"/>
    <n v="0.684782"/>
    <n v="0.56780333333333299"/>
    <n v="0.61569888853566601"/>
    <n v="0.60840428699266602"/>
    <n v="0.685771666666666"/>
    <n v="0.69911999999999996"/>
    <n v="11.327999999999999"/>
    <n v="12.199"/>
    <n v="12.067"/>
    <n v="13.146000000000001"/>
    <n v="12.43"/>
    <n v="12.363"/>
    <n v="11.129"/>
    <n v="13.284000000000001"/>
    <n v="14.565"/>
    <n v="13.254"/>
    <n v="12.343999999999999"/>
    <n v="12.895"/>
    <n v="11.907999999999999"/>
    <n v="11.952999999999999"/>
    <n v="13.7830499999999"/>
    <n v="11.77055"/>
    <n v="12.377264437393"/>
    <n v="12.399141453716"/>
    <n v="14.073815"/>
    <n v="14.316636000000001"/>
    <n v="99.957999999999998"/>
    <n v="125.03"/>
    <n v="150"/>
    <n v="115.291"/>
    <n v="128.94900000000001"/>
    <n v="469.55700000000002"/>
    <n v="278.47500000000002"/>
    <n v="120.566"/>
    <n v="182.197"/>
    <n v="124.297"/>
    <n v="341.35300000000001"/>
    <n v="188.745"/>
    <n v="111.283"/>
    <n v="376.61399999999998"/>
    <n v="253.88019600000001"/>
    <n v="258.48174"/>
    <n v="160.134553194153"/>
    <n v="169.20731191971601"/>
    <n v="290.41948000000002"/>
    <n v="225.73591200000001"/>
    <n v="0.684782"/>
    <n v="13.7830499999999"/>
    <n v="253.88019600000001"/>
  </r>
  <r>
    <x v="2"/>
    <n v="662614"/>
    <x v="17"/>
    <n v="0.59099999999999997"/>
    <n v="0.68400000000000005"/>
    <n v="0.63266666666666604"/>
    <n v="0.60533333333333295"/>
    <n v="0.63933333333333298"/>
    <n v="0.67866666666666597"/>
    <n v="0.52966666666666595"/>
    <n v="0.63200000000000001"/>
    <n v="0.69566666666666599"/>
    <n v="0.6"/>
    <n v="0.61133333333333295"/>
    <n v="0.62366666666666604"/>
    <n v="0.60733333333333295"/>
    <n v="0.61366666666666603"/>
    <n v="0.684782"/>
    <n v="0.56780333333333299"/>
    <n v="0.61569888853566601"/>
    <n v="0.60840428699266602"/>
    <n v="0.685771666666666"/>
    <n v="0.69911999999999996"/>
    <n v="11.327999999999999"/>
    <n v="12.199"/>
    <n v="12.067"/>
    <n v="13.146000000000001"/>
    <n v="12.43"/>
    <n v="12.363"/>
    <n v="11.129"/>
    <n v="13.284000000000001"/>
    <n v="14.565"/>
    <n v="13.254"/>
    <n v="12.343999999999999"/>
    <n v="12.895"/>
    <n v="11.907999999999999"/>
    <n v="11.952999999999999"/>
    <n v="13.7830499999999"/>
    <n v="11.77055"/>
    <n v="12.377264437393"/>
    <n v="12.399141453716"/>
    <n v="14.073815"/>
    <n v="14.316636000000001"/>
    <n v="99.957999999999998"/>
    <n v="125.03"/>
    <n v="150"/>
    <n v="115.291"/>
    <n v="128.94900000000001"/>
    <n v="469.55700000000002"/>
    <n v="278.47500000000002"/>
    <n v="120.566"/>
    <n v="182.197"/>
    <n v="124.297"/>
    <n v="341.35300000000001"/>
    <n v="188.745"/>
    <n v="111.283"/>
    <n v="376.61399999999998"/>
    <n v="253.88019600000001"/>
    <n v="258.48174"/>
    <n v="160.134553194153"/>
    <n v="169.20731191971601"/>
    <n v="290.41948000000002"/>
    <n v="225.73591200000001"/>
    <n v="0.61569888853566601"/>
    <n v="12.377264437393"/>
    <n v="160.134553194153"/>
  </r>
  <r>
    <x v="3"/>
    <n v="469649"/>
    <x v="17"/>
    <n v="0.59099999999999997"/>
    <n v="0.68400000000000005"/>
    <n v="0.63266666666666604"/>
    <n v="0.60533333333333295"/>
    <n v="0.63933333333333298"/>
    <n v="0.67866666666666597"/>
    <n v="0.52966666666666595"/>
    <n v="0.63200000000000001"/>
    <n v="0.69566666666666599"/>
    <n v="0.6"/>
    <n v="0.61133333333333295"/>
    <n v="0.62366666666666604"/>
    <n v="0.60733333333333295"/>
    <n v="0.61366666666666603"/>
    <n v="0.684782"/>
    <n v="0.56780333333333299"/>
    <n v="0.61569888853566601"/>
    <n v="0.60840428699266602"/>
    <n v="0.685771666666666"/>
    <n v="0.69911999999999996"/>
    <n v="11.327999999999999"/>
    <n v="12.199"/>
    <n v="12.067"/>
    <n v="13.146000000000001"/>
    <n v="12.43"/>
    <n v="12.363"/>
    <n v="11.129"/>
    <n v="13.284000000000001"/>
    <n v="14.565"/>
    <n v="13.254"/>
    <n v="12.343999999999999"/>
    <n v="12.895"/>
    <n v="11.907999999999999"/>
    <n v="11.952999999999999"/>
    <n v="13.7830499999999"/>
    <n v="11.77055"/>
    <n v="12.377264437393"/>
    <n v="12.399141453716"/>
    <n v="14.073815"/>
    <n v="14.316636000000001"/>
    <n v="99.957999999999998"/>
    <n v="125.03"/>
    <n v="150"/>
    <n v="115.291"/>
    <n v="128.94900000000001"/>
    <n v="469.55700000000002"/>
    <n v="278.47500000000002"/>
    <n v="120.566"/>
    <n v="182.197"/>
    <n v="124.297"/>
    <n v="341.35300000000001"/>
    <n v="188.745"/>
    <n v="111.283"/>
    <n v="376.61399999999998"/>
    <n v="253.88019600000001"/>
    <n v="258.48174"/>
    <n v="160.134553194153"/>
    <n v="169.20731191971601"/>
    <n v="290.41948000000002"/>
    <n v="225.73591200000001"/>
    <n v="0.685771666666666"/>
    <n v="14.073815"/>
    <n v="290.41948000000002"/>
  </r>
  <r>
    <x v="4"/>
    <n v="137574"/>
    <x v="17"/>
    <n v="0.59099999999999997"/>
    <n v="0.68400000000000005"/>
    <n v="0.63266666666666604"/>
    <n v="0.60533333333333295"/>
    <n v="0.63933333333333298"/>
    <n v="0.67866666666666597"/>
    <n v="0.52966666666666595"/>
    <n v="0.63200000000000001"/>
    <n v="0.69566666666666599"/>
    <n v="0.6"/>
    <n v="0.61133333333333295"/>
    <n v="0.62366666666666604"/>
    <n v="0.60733333333333295"/>
    <n v="0.61366666666666603"/>
    <n v="0.684782"/>
    <n v="0.56780333333333299"/>
    <n v="0.61569888853566601"/>
    <n v="0.60840428699266602"/>
    <n v="0.685771666666666"/>
    <n v="0.69911999999999996"/>
    <n v="11.327999999999999"/>
    <n v="12.199"/>
    <n v="12.067"/>
    <n v="13.146000000000001"/>
    <n v="12.43"/>
    <n v="12.363"/>
    <n v="11.129"/>
    <n v="13.284000000000001"/>
    <n v="14.565"/>
    <n v="13.254"/>
    <n v="12.343999999999999"/>
    <n v="12.895"/>
    <n v="11.907999999999999"/>
    <n v="11.952999999999999"/>
    <n v="13.7830499999999"/>
    <n v="11.77055"/>
    <n v="12.377264437393"/>
    <n v="12.399141453716"/>
    <n v="14.073815"/>
    <n v="14.316636000000001"/>
    <n v="99.957999999999998"/>
    <n v="125.03"/>
    <n v="150"/>
    <n v="115.291"/>
    <n v="128.94900000000001"/>
    <n v="469.55700000000002"/>
    <n v="278.47500000000002"/>
    <n v="120.566"/>
    <n v="182.197"/>
    <n v="124.297"/>
    <n v="341.35300000000001"/>
    <n v="188.745"/>
    <n v="111.283"/>
    <n v="376.61399999999998"/>
    <n v="253.88019600000001"/>
    <n v="258.48174"/>
    <n v="160.134553194153"/>
    <n v="169.20731191971601"/>
    <n v="290.41948000000002"/>
    <n v="225.73591200000001"/>
    <n v="0.69911999999999996"/>
    <n v="14.316636000000001"/>
    <n v="225.73591200000001"/>
  </r>
  <r>
    <x v="0"/>
    <n v="677456"/>
    <x v="18"/>
    <n v="0.57599999999999996"/>
    <n v="0.59699999999999998"/>
    <n v="0.61499999999999999"/>
    <n v="0.59566666666666601"/>
    <n v="0.59899999999999998"/>
    <n v="0.49333333333333301"/>
    <n v="0.60299999999999998"/>
    <n v="0.55033333333333301"/>
    <n v="0.49399999999999999"/>
    <n v="0.61533333333333295"/>
    <n v="0.64166666666666605"/>
    <n v="0.51600000000000001"/>
    <n v="0.60799999999999998"/>
    <n v="0.66500000000000004"/>
    <n v="0.67011933333333296"/>
    <n v="0.57464999999999999"/>
    <n v="0.59518296264699999"/>
    <n v="0.59021428688066602"/>
    <n v="0.706108333333333"/>
    <n v="0.67005400000000004"/>
    <n v="10.903"/>
    <n v="12.129"/>
    <n v="12.053000000000001"/>
    <n v="12.564"/>
    <n v="12.144"/>
    <n v="12.2"/>
    <n v="13.613"/>
    <n v="11.77"/>
    <n v="12.726000000000001"/>
    <n v="12.101000000000001"/>
    <n v="14.752000000000001"/>
    <n v="12.617000000000001"/>
    <n v="11.621"/>
    <n v="13.45"/>
    <n v="14.656438"/>
    <n v="13.223470000000001"/>
    <n v="12.463929993180001"/>
    <n v="12.491998596646001"/>
    <n v="15.195905"/>
    <n v="14.629388000000001"/>
    <n v="52.253"/>
    <n v="99.685000000000002"/>
    <n v="103.572"/>
    <n v="136.273"/>
    <n v="110.79900000000001"/>
    <n v="382.67"/>
    <n v="219.20099999999999"/>
    <n v="89.007000000000005"/>
    <n v="124.131"/>
    <n v="62.497"/>
    <n v="206.87200000000001"/>
    <n v="202.13399999999999"/>
    <n v="79.338999999999999"/>
    <n v="262.32"/>
    <n v="191.63542000000001"/>
    <n v="219.38867999999999"/>
    <n v="132.68496879068101"/>
    <n v="142.85883605440799"/>
    <n v="201.11938499999999"/>
    <n v="186.952224"/>
    <n v="0.59021428688066602"/>
    <n v="12.491998596646001"/>
    <n v="142.85883605440799"/>
  </r>
  <r>
    <x v="1"/>
    <n v="225902"/>
    <x v="18"/>
    <n v="0.57599999999999996"/>
    <n v="0.59699999999999998"/>
    <n v="0.61499999999999999"/>
    <n v="0.59566666666666601"/>
    <n v="0.59899999999999998"/>
    <n v="0.49333333333333301"/>
    <n v="0.60299999999999998"/>
    <n v="0.55033333333333301"/>
    <n v="0.49399999999999999"/>
    <n v="0.61533333333333295"/>
    <n v="0.64166666666666605"/>
    <n v="0.51600000000000001"/>
    <n v="0.60799999999999998"/>
    <n v="0.66500000000000004"/>
    <n v="0.67011933333333296"/>
    <n v="0.57464999999999999"/>
    <n v="0.59518296264699999"/>
    <n v="0.59021428688066602"/>
    <n v="0.706108333333333"/>
    <n v="0.67005400000000004"/>
    <n v="10.903"/>
    <n v="12.129"/>
    <n v="12.053000000000001"/>
    <n v="12.564"/>
    <n v="12.144"/>
    <n v="12.2"/>
    <n v="13.613"/>
    <n v="11.77"/>
    <n v="12.726000000000001"/>
    <n v="12.101000000000001"/>
    <n v="14.752000000000001"/>
    <n v="12.617000000000001"/>
    <n v="11.621"/>
    <n v="13.45"/>
    <n v="14.656438"/>
    <n v="13.223470000000001"/>
    <n v="12.463929993180001"/>
    <n v="12.491998596646001"/>
    <n v="15.195905"/>
    <n v="14.629388000000001"/>
    <n v="52.253"/>
    <n v="99.685000000000002"/>
    <n v="103.572"/>
    <n v="136.273"/>
    <n v="110.79900000000001"/>
    <n v="382.67"/>
    <n v="219.20099999999999"/>
    <n v="89.007000000000005"/>
    <n v="124.131"/>
    <n v="62.497"/>
    <n v="206.87200000000001"/>
    <n v="202.13399999999999"/>
    <n v="79.338999999999999"/>
    <n v="262.32"/>
    <n v="191.63542000000001"/>
    <n v="219.38867999999999"/>
    <n v="132.68496879068101"/>
    <n v="142.85883605440799"/>
    <n v="201.11938499999999"/>
    <n v="186.952224"/>
    <n v="0.67011933333333296"/>
    <n v="14.656438"/>
    <n v="191.63542000000001"/>
  </r>
  <r>
    <x v="2"/>
    <n v="515365"/>
    <x v="18"/>
    <n v="0.57599999999999996"/>
    <n v="0.59699999999999998"/>
    <n v="0.61499999999999999"/>
    <n v="0.59566666666666601"/>
    <n v="0.59899999999999998"/>
    <n v="0.49333333333333301"/>
    <n v="0.60299999999999998"/>
    <n v="0.55033333333333301"/>
    <n v="0.49399999999999999"/>
    <n v="0.61533333333333295"/>
    <n v="0.64166666666666605"/>
    <n v="0.51600000000000001"/>
    <n v="0.60799999999999998"/>
    <n v="0.66500000000000004"/>
    <n v="0.67011933333333296"/>
    <n v="0.57464999999999999"/>
    <n v="0.59518296264699999"/>
    <n v="0.59021428688066602"/>
    <n v="0.706108333333333"/>
    <n v="0.67005400000000004"/>
    <n v="10.903"/>
    <n v="12.129"/>
    <n v="12.053000000000001"/>
    <n v="12.564"/>
    <n v="12.144"/>
    <n v="12.2"/>
    <n v="13.613"/>
    <n v="11.77"/>
    <n v="12.726000000000001"/>
    <n v="12.101000000000001"/>
    <n v="14.752000000000001"/>
    <n v="12.617000000000001"/>
    <n v="11.621"/>
    <n v="13.45"/>
    <n v="14.656438"/>
    <n v="13.223470000000001"/>
    <n v="12.463929993180001"/>
    <n v="12.491998596646001"/>
    <n v="15.195905"/>
    <n v="14.629388000000001"/>
    <n v="52.253"/>
    <n v="99.685000000000002"/>
    <n v="103.572"/>
    <n v="136.273"/>
    <n v="110.79900000000001"/>
    <n v="382.67"/>
    <n v="219.20099999999999"/>
    <n v="89.007000000000005"/>
    <n v="124.131"/>
    <n v="62.497"/>
    <n v="206.87200000000001"/>
    <n v="202.13399999999999"/>
    <n v="79.338999999999999"/>
    <n v="262.32"/>
    <n v="191.63542000000001"/>
    <n v="219.38867999999999"/>
    <n v="132.68496879068101"/>
    <n v="142.85883605440799"/>
    <n v="201.11938499999999"/>
    <n v="186.952224"/>
    <n v="0.59518296264699999"/>
    <n v="12.463929993180001"/>
    <n v="132.68496879068101"/>
  </r>
  <r>
    <x v="3"/>
    <n v="436153"/>
    <x v="18"/>
    <n v="0.57599999999999996"/>
    <n v="0.59699999999999998"/>
    <n v="0.61499999999999999"/>
    <n v="0.59566666666666601"/>
    <n v="0.59899999999999998"/>
    <n v="0.49333333333333301"/>
    <n v="0.60299999999999998"/>
    <n v="0.55033333333333301"/>
    <n v="0.49399999999999999"/>
    <n v="0.61533333333333295"/>
    <n v="0.64166666666666605"/>
    <n v="0.51600000000000001"/>
    <n v="0.60799999999999998"/>
    <n v="0.66500000000000004"/>
    <n v="0.67011933333333296"/>
    <n v="0.57464999999999999"/>
    <n v="0.59518296264699999"/>
    <n v="0.59021428688066602"/>
    <n v="0.706108333333333"/>
    <n v="0.67005400000000004"/>
    <n v="10.903"/>
    <n v="12.129"/>
    <n v="12.053000000000001"/>
    <n v="12.564"/>
    <n v="12.144"/>
    <n v="12.2"/>
    <n v="13.613"/>
    <n v="11.77"/>
    <n v="12.726000000000001"/>
    <n v="12.101000000000001"/>
    <n v="14.752000000000001"/>
    <n v="12.617000000000001"/>
    <n v="11.621"/>
    <n v="13.45"/>
    <n v="14.656438"/>
    <n v="13.223470000000001"/>
    <n v="12.463929993180001"/>
    <n v="12.491998596646001"/>
    <n v="15.195905"/>
    <n v="14.629388000000001"/>
    <n v="52.253"/>
    <n v="99.685000000000002"/>
    <n v="103.572"/>
    <n v="136.273"/>
    <n v="110.79900000000001"/>
    <n v="382.67"/>
    <n v="219.20099999999999"/>
    <n v="89.007000000000005"/>
    <n v="124.131"/>
    <n v="62.497"/>
    <n v="206.87200000000001"/>
    <n v="202.13399999999999"/>
    <n v="79.338999999999999"/>
    <n v="262.32"/>
    <n v="191.63542000000001"/>
    <n v="219.38867999999999"/>
    <n v="132.68496879068101"/>
    <n v="142.85883605440799"/>
    <n v="201.11938499999999"/>
    <n v="186.952224"/>
    <n v="0.706108333333333"/>
    <n v="15.195905"/>
    <n v="201.11938499999999"/>
  </r>
  <r>
    <x v="4"/>
    <n v="92029"/>
    <x v="18"/>
    <n v="0.57599999999999996"/>
    <n v="0.59699999999999998"/>
    <n v="0.61499999999999999"/>
    <n v="0.59566666666666601"/>
    <n v="0.59899999999999998"/>
    <n v="0.49333333333333301"/>
    <n v="0.60299999999999998"/>
    <n v="0.55033333333333301"/>
    <n v="0.49399999999999999"/>
    <n v="0.61533333333333295"/>
    <n v="0.64166666666666605"/>
    <n v="0.51600000000000001"/>
    <n v="0.60799999999999998"/>
    <n v="0.66500000000000004"/>
    <n v="0.67011933333333296"/>
    <n v="0.57464999999999999"/>
    <n v="0.59518296264699999"/>
    <n v="0.59021428688066602"/>
    <n v="0.706108333333333"/>
    <n v="0.67005400000000004"/>
    <n v="10.903"/>
    <n v="12.129"/>
    <n v="12.053000000000001"/>
    <n v="12.564"/>
    <n v="12.144"/>
    <n v="12.2"/>
    <n v="13.613"/>
    <n v="11.77"/>
    <n v="12.726000000000001"/>
    <n v="12.101000000000001"/>
    <n v="14.752000000000001"/>
    <n v="12.617000000000001"/>
    <n v="11.621"/>
    <n v="13.45"/>
    <n v="14.656438"/>
    <n v="13.223470000000001"/>
    <n v="12.463929993180001"/>
    <n v="12.491998596646001"/>
    <n v="15.195905"/>
    <n v="14.629388000000001"/>
    <n v="52.253"/>
    <n v="99.685000000000002"/>
    <n v="103.572"/>
    <n v="136.273"/>
    <n v="110.79900000000001"/>
    <n v="382.67"/>
    <n v="219.20099999999999"/>
    <n v="89.007000000000005"/>
    <n v="124.131"/>
    <n v="62.497"/>
    <n v="206.87200000000001"/>
    <n v="202.13399999999999"/>
    <n v="79.338999999999999"/>
    <n v="262.32"/>
    <n v="191.63542000000001"/>
    <n v="219.38867999999999"/>
    <n v="132.68496879068101"/>
    <n v="142.85883605440799"/>
    <n v="201.11938499999999"/>
    <n v="186.952224"/>
    <n v="0.67005400000000004"/>
    <n v="14.629388000000001"/>
    <n v="186.952224"/>
  </r>
  <r>
    <x v="0"/>
    <n v="669329"/>
    <x v="19"/>
    <n v="0.44466666666666599"/>
    <n v="0.49133333333333301"/>
    <n v="0.47899999999999998"/>
    <n v="0.45933333333333298"/>
    <n v="0.43633333333333302"/>
    <n v="0.580666666666666"/>
    <n v="0.51566666666666605"/>
    <n v="0.51800000000000002"/>
    <n v="0.46966666666666601"/>
    <n v="0.56666666666666599"/>
    <n v="0.481333333333333"/>
    <n v="0.45900000000000002"/>
    <n v="0.475333333333333"/>
    <n v="0.60866666666666602"/>
    <n v="0.54988199999999998"/>
    <n v="0.50144666666666604"/>
    <n v="0.47026703674033299"/>
    <n v="0.480527143898"/>
    <n v="0.60194999999999999"/>
    <n v="0.55220066666666601"/>
    <n v="10.943"/>
    <n v="11.042999999999999"/>
    <n v="11.506"/>
    <n v="12.081"/>
    <n v="11.615"/>
    <n v="13.112"/>
    <n v="12.337"/>
    <n v="11.81"/>
    <n v="11.928000000000001"/>
    <n v="11.923"/>
    <n v="13.019"/>
    <n v="12.08"/>
    <n v="11.166"/>
    <n v="12.903"/>
    <n v="13.695358000000001"/>
    <n v="12.306050000000001"/>
    <n v="11.785745548798999"/>
    <n v="11.898847167106"/>
    <n v="14.20538"/>
    <n v="13.843354"/>
    <n v="20.068999999999999"/>
    <n v="43.206000000000003"/>
    <n v="57.411000000000001"/>
    <n v="85.873999999999995"/>
    <n v="85.956000000000003"/>
    <n v="393.08"/>
    <n v="217.28800000000001"/>
    <n v="38.308999999999997"/>
    <n v="103.874"/>
    <n v="24.762"/>
    <n v="162.96699999999899"/>
    <n v="174.386"/>
    <n v="26.821000000000002"/>
    <n v="154.29499999999999"/>
    <n v="157.02571"/>
    <n v="208.68279000000001"/>
    <n v="92.580492144879997"/>
    <n v="107.51554168635801"/>
    <n v="155.26899999999901"/>
    <n v="146.23270199999999"/>
    <n v="0.480527143898"/>
    <n v="11.898847167106"/>
    <n v="107.51554168635801"/>
  </r>
  <r>
    <x v="1"/>
    <n v="178732"/>
    <x v="19"/>
    <n v="0.44466666666666599"/>
    <n v="0.49133333333333301"/>
    <n v="0.47899999999999998"/>
    <n v="0.45933333333333298"/>
    <n v="0.43633333333333302"/>
    <n v="0.580666666666666"/>
    <n v="0.51566666666666605"/>
    <n v="0.51800000000000002"/>
    <n v="0.46966666666666601"/>
    <n v="0.56666666666666599"/>
    <n v="0.481333333333333"/>
    <n v="0.45900000000000002"/>
    <n v="0.475333333333333"/>
    <n v="0.60866666666666602"/>
    <n v="0.54988199999999998"/>
    <n v="0.50144666666666604"/>
    <n v="0.47026703674033299"/>
    <n v="0.480527143898"/>
    <n v="0.60194999999999999"/>
    <n v="0.55220066666666601"/>
    <n v="10.943"/>
    <n v="11.042999999999999"/>
    <n v="11.506"/>
    <n v="12.081"/>
    <n v="11.615"/>
    <n v="13.112"/>
    <n v="12.337"/>
    <n v="11.81"/>
    <n v="11.928000000000001"/>
    <n v="11.923"/>
    <n v="13.019"/>
    <n v="12.08"/>
    <n v="11.166"/>
    <n v="12.903"/>
    <n v="13.695358000000001"/>
    <n v="12.306050000000001"/>
    <n v="11.785745548798999"/>
    <n v="11.898847167106"/>
    <n v="14.20538"/>
    <n v="13.843354"/>
    <n v="20.068999999999999"/>
    <n v="43.206000000000003"/>
    <n v="57.411000000000001"/>
    <n v="85.873999999999995"/>
    <n v="85.956000000000003"/>
    <n v="393.08"/>
    <n v="217.28800000000001"/>
    <n v="38.308999999999997"/>
    <n v="103.874"/>
    <n v="24.762"/>
    <n v="162.96699999999899"/>
    <n v="174.386"/>
    <n v="26.821000000000002"/>
    <n v="154.29499999999999"/>
    <n v="157.02571"/>
    <n v="208.68279000000001"/>
    <n v="92.580492144879997"/>
    <n v="107.51554168635801"/>
    <n v="155.26899999999901"/>
    <n v="146.23270199999999"/>
    <n v="0.54988199999999998"/>
    <n v="13.695358000000001"/>
    <n v="157.02571"/>
  </r>
  <r>
    <x v="2"/>
    <n v="408993"/>
    <x v="19"/>
    <n v="0.44466666666666599"/>
    <n v="0.49133333333333301"/>
    <n v="0.47899999999999998"/>
    <n v="0.45933333333333298"/>
    <n v="0.43633333333333302"/>
    <n v="0.580666666666666"/>
    <n v="0.51566666666666605"/>
    <n v="0.51800000000000002"/>
    <n v="0.46966666666666601"/>
    <n v="0.56666666666666599"/>
    <n v="0.481333333333333"/>
    <n v="0.45900000000000002"/>
    <n v="0.475333333333333"/>
    <n v="0.60866666666666602"/>
    <n v="0.54988199999999998"/>
    <n v="0.50144666666666604"/>
    <n v="0.47026703674033299"/>
    <n v="0.480527143898"/>
    <n v="0.60194999999999999"/>
    <n v="0.55220066666666601"/>
    <n v="10.943"/>
    <n v="11.042999999999999"/>
    <n v="11.506"/>
    <n v="12.081"/>
    <n v="11.615"/>
    <n v="13.112"/>
    <n v="12.337"/>
    <n v="11.81"/>
    <n v="11.928000000000001"/>
    <n v="11.923"/>
    <n v="13.019"/>
    <n v="12.08"/>
    <n v="11.166"/>
    <n v="12.903"/>
    <n v="13.695358000000001"/>
    <n v="12.306050000000001"/>
    <n v="11.785745548798999"/>
    <n v="11.898847167106"/>
    <n v="14.20538"/>
    <n v="13.843354"/>
    <n v="20.068999999999999"/>
    <n v="43.206000000000003"/>
    <n v="57.411000000000001"/>
    <n v="85.873999999999995"/>
    <n v="85.956000000000003"/>
    <n v="393.08"/>
    <n v="217.28800000000001"/>
    <n v="38.308999999999997"/>
    <n v="103.874"/>
    <n v="24.762"/>
    <n v="162.96699999999899"/>
    <n v="174.386"/>
    <n v="26.821000000000002"/>
    <n v="154.29499999999999"/>
    <n v="157.02571"/>
    <n v="208.68279000000001"/>
    <n v="92.580492144879997"/>
    <n v="107.51554168635801"/>
    <n v="155.26899999999901"/>
    <n v="146.23270199999999"/>
    <n v="0.47026703674033299"/>
    <n v="11.785745548798999"/>
    <n v="92.580492144879997"/>
  </r>
  <r>
    <x v="3"/>
    <n v="559021"/>
    <x v="19"/>
    <n v="0.44466666666666599"/>
    <n v="0.49133333333333301"/>
    <n v="0.47899999999999998"/>
    <n v="0.45933333333333298"/>
    <n v="0.43633333333333302"/>
    <n v="0.580666666666666"/>
    <n v="0.51566666666666605"/>
    <n v="0.51800000000000002"/>
    <n v="0.46966666666666601"/>
    <n v="0.56666666666666599"/>
    <n v="0.481333333333333"/>
    <n v="0.45900000000000002"/>
    <n v="0.475333333333333"/>
    <n v="0.60866666666666602"/>
    <n v="0.54988199999999998"/>
    <n v="0.50144666666666604"/>
    <n v="0.47026703674033299"/>
    <n v="0.480527143898"/>
    <n v="0.60194999999999999"/>
    <n v="0.55220066666666601"/>
    <n v="10.943"/>
    <n v="11.042999999999999"/>
    <n v="11.506"/>
    <n v="12.081"/>
    <n v="11.615"/>
    <n v="13.112"/>
    <n v="12.337"/>
    <n v="11.81"/>
    <n v="11.928000000000001"/>
    <n v="11.923"/>
    <n v="13.019"/>
    <n v="12.08"/>
    <n v="11.166"/>
    <n v="12.903"/>
    <n v="13.695358000000001"/>
    <n v="12.306050000000001"/>
    <n v="11.785745548798999"/>
    <n v="11.898847167106"/>
    <n v="14.20538"/>
    <n v="13.843354"/>
    <n v="20.068999999999999"/>
    <n v="43.206000000000003"/>
    <n v="57.411000000000001"/>
    <n v="85.873999999999995"/>
    <n v="85.956000000000003"/>
    <n v="393.08"/>
    <n v="217.28800000000001"/>
    <n v="38.308999999999997"/>
    <n v="103.874"/>
    <n v="24.762"/>
    <n v="162.96699999999899"/>
    <n v="174.386"/>
    <n v="26.821000000000002"/>
    <n v="154.29499999999999"/>
    <n v="157.02571"/>
    <n v="208.68279000000001"/>
    <n v="92.580492144879997"/>
    <n v="107.51554168635801"/>
    <n v="155.26899999999901"/>
    <n v="146.23270199999999"/>
    <n v="0.60194999999999999"/>
    <n v="14.20538"/>
    <n v="155.26899999999901"/>
  </r>
  <r>
    <x v="4"/>
    <n v="102323"/>
    <x v="19"/>
    <n v="0.44466666666666599"/>
    <n v="0.49133333333333301"/>
    <n v="0.47899999999999998"/>
    <n v="0.45933333333333298"/>
    <n v="0.43633333333333302"/>
    <n v="0.580666666666666"/>
    <n v="0.51566666666666605"/>
    <n v="0.51800000000000002"/>
    <n v="0.46966666666666601"/>
    <n v="0.56666666666666599"/>
    <n v="0.481333333333333"/>
    <n v="0.45900000000000002"/>
    <n v="0.475333333333333"/>
    <n v="0.60866666666666602"/>
    <n v="0.54988199999999998"/>
    <n v="0.50144666666666604"/>
    <n v="0.47026703674033299"/>
    <n v="0.480527143898"/>
    <n v="0.60194999999999999"/>
    <n v="0.55220066666666601"/>
    <n v="10.943"/>
    <n v="11.042999999999999"/>
    <n v="11.506"/>
    <n v="12.081"/>
    <n v="11.615"/>
    <n v="13.112"/>
    <n v="12.337"/>
    <n v="11.81"/>
    <n v="11.928000000000001"/>
    <n v="11.923"/>
    <n v="13.019"/>
    <n v="12.08"/>
    <n v="11.166"/>
    <n v="12.903"/>
    <n v="13.695358000000001"/>
    <n v="12.306050000000001"/>
    <n v="11.785745548798999"/>
    <n v="11.898847167106"/>
    <n v="14.20538"/>
    <n v="13.843354"/>
    <n v="20.068999999999999"/>
    <n v="43.206000000000003"/>
    <n v="57.411000000000001"/>
    <n v="85.873999999999995"/>
    <n v="85.956000000000003"/>
    <n v="393.08"/>
    <n v="217.28800000000001"/>
    <n v="38.308999999999997"/>
    <n v="103.874"/>
    <n v="24.762"/>
    <n v="162.96699999999899"/>
    <n v="174.386"/>
    <n v="26.821000000000002"/>
    <n v="154.29499999999999"/>
    <n v="157.02571"/>
    <n v="208.68279000000001"/>
    <n v="92.580492144879997"/>
    <n v="107.51554168635801"/>
    <n v="155.26899999999901"/>
    <n v="146.23270199999999"/>
    <n v="0.55220066666666601"/>
    <n v="13.843354"/>
    <n v="146.23270199999999"/>
  </r>
  <r>
    <x v="0"/>
    <n v="1050042"/>
    <x v="20"/>
    <n v="0.44466666666666599"/>
    <n v="0.49833333333333302"/>
    <n v="0.44566666666666599"/>
    <n v="0.38933333333333298"/>
    <n v="0.40533333333333299"/>
    <n v="0.34866666666666601"/>
    <n v="0.45033333333333297"/>
    <n v="0.45733333333333298"/>
    <n v="0.45100000000000001"/>
    <n v="0.54300000000000004"/>
    <n v="0.46600000000000003"/>
    <n v="0.46033333333333298"/>
    <n v="0.44033333333333302"/>
    <n v="0.57399999999999995"/>
    <n v="0.507896666666666"/>
    <n v="0.44338999999999901"/>
    <n v="0.43114703677466598"/>
    <n v="0.43284047714066598"/>
    <n v="0.55791500000000005"/>
    <n v="0.50350799999999996"/>
    <n v="9.9440000000000008"/>
    <n v="10.157"/>
    <n v="10.337"/>
    <n v="10.458"/>
    <n v="10.411"/>
    <n v="10.667"/>
    <n v="10.48"/>
    <n v="10.86"/>
    <n v="11.84"/>
    <n v="11.363"/>
    <n v="11.391"/>
    <n v="11.081"/>
    <n v="10.179"/>
    <n v="12.351000000000001"/>
    <n v="12.177508"/>
    <n v="10.64879"/>
    <n v="10.477015549315"/>
    <n v="10.566024307917999"/>
    <n v="12.80172"/>
    <n v="12.318018"/>
    <n v="44.639000000000003"/>
    <n v="97.088999999999999"/>
    <n v="111.935"/>
    <n v="100.304"/>
    <n v="130.31799999999899"/>
    <n v="404.48500000000001"/>
    <n v="229.75899999999999"/>
    <n v="37.338000000000001"/>
    <n v="90.075000000000003"/>
    <n v="27.082999999999998"/>
    <n v="310.02100000000002"/>
    <n v="151.86199999999999"/>
    <n v="58.143000000000001"/>
    <n v="332.38299999999998"/>
    <n v="210.16225800000001"/>
    <n v="214.10377"/>
    <n v="130.67630656681499"/>
    <n v="133.43187180165"/>
    <n v="229.33441999999999"/>
    <n v="184.31126"/>
    <n v="0.43284047714066598"/>
    <n v="10.566024307917999"/>
    <n v="133.43187180165"/>
  </r>
  <r>
    <x v="1"/>
    <n v="304296"/>
    <x v="20"/>
    <n v="0.44466666666666599"/>
    <n v="0.49833333333333302"/>
    <n v="0.44566666666666599"/>
    <n v="0.38933333333333298"/>
    <n v="0.40533333333333299"/>
    <n v="0.34866666666666601"/>
    <n v="0.45033333333333297"/>
    <n v="0.45733333333333298"/>
    <n v="0.45100000000000001"/>
    <n v="0.54300000000000004"/>
    <n v="0.46600000000000003"/>
    <n v="0.46033333333333298"/>
    <n v="0.44033333333333302"/>
    <n v="0.57399999999999995"/>
    <n v="0.507896666666666"/>
    <n v="0.44338999999999901"/>
    <n v="0.43114703677466598"/>
    <n v="0.43284047714066598"/>
    <n v="0.55791500000000005"/>
    <n v="0.50350799999999996"/>
    <n v="9.9440000000000008"/>
    <n v="10.157"/>
    <n v="10.337"/>
    <n v="10.458"/>
    <n v="10.411"/>
    <n v="10.667"/>
    <n v="10.48"/>
    <n v="10.86"/>
    <n v="11.84"/>
    <n v="11.363"/>
    <n v="11.391"/>
    <n v="11.081"/>
    <n v="10.179"/>
    <n v="12.351000000000001"/>
    <n v="12.177508"/>
    <n v="10.64879"/>
    <n v="10.477015549315"/>
    <n v="10.566024307917999"/>
    <n v="12.80172"/>
    <n v="12.318018"/>
    <n v="44.639000000000003"/>
    <n v="97.088999999999999"/>
    <n v="111.935"/>
    <n v="100.304"/>
    <n v="130.31799999999899"/>
    <n v="404.48500000000001"/>
    <n v="229.75899999999999"/>
    <n v="37.338000000000001"/>
    <n v="90.075000000000003"/>
    <n v="27.082999999999998"/>
    <n v="310.02100000000002"/>
    <n v="151.86199999999999"/>
    <n v="58.143000000000001"/>
    <n v="332.38299999999998"/>
    <n v="210.16225800000001"/>
    <n v="214.10377"/>
    <n v="130.67630656681499"/>
    <n v="133.43187180165"/>
    <n v="229.33441999999999"/>
    <n v="184.31126"/>
    <n v="0.507896666666666"/>
    <n v="12.177508"/>
    <n v="210.16225800000001"/>
  </r>
  <r>
    <x v="2"/>
    <n v="749874"/>
    <x v="20"/>
    <n v="0.44466666666666599"/>
    <n v="0.49833333333333302"/>
    <n v="0.44566666666666599"/>
    <n v="0.38933333333333298"/>
    <n v="0.40533333333333299"/>
    <n v="0.34866666666666601"/>
    <n v="0.45033333333333297"/>
    <n v="0.45733333333333298"/>
    <n v="0.45100000000000001"/>
    <n v="0.54300000000000004"/>
    <n v="0.46600000000000003"/>
    <n v="0.46033333333333298"/>
    <n v="0.44033333333333302"/>
    <n v="0.57399999999999995"/>
    <n v="0.507896666666666"/>
    <n v="0.44338999999999901"/>
    <n v="0.43114703677466598"/>
    <n v="0.43284047714066598"/>
    <n v="0.55791500000000005"/>
    <n v="0.50350799999999996"/>
    <n v="9.9440000000000008"/>
    <n v="10.157"/>
    <n v="10.337"/>
    <n v="10.458"/>
    <n v="10.411"/>
    <n v="10.667"/>
    <n v="10.48"/>
    <n v="10.86"/>
    <n v="11.84"/>
    <n v="11.363"/>
    <n v="11.391"/>
    <n v="11.081"/>
    <n v="10.179"/>
    <n v="12.351000000000001"/>
    <n v="12.177508"/>
    <n v="10.64879"/>
    <n v="10.477015549315"/>
    <n v="10.566024307917999"/>
    <n v="12.80172"/>
    <n v="12.318018"/>
    <n v="44.639000000000003"/>
    <n v="97.088999999999999"/>
    <n v="111.935"/>
    <n v="100.304"/>
    <n v="130.31799999999899"/>
    <n v="404.48500000000001"/>
    <n v="229.75899999999999"/>
    <n v="37.338000000000001"/>
    <n v="90.075000000000003"/>
    <n v="27.082999999999998"/>
    <n v="310.02100000000002"/>
    <n v="151.86199999999999"/>
    <n v="58.143000000000001"/>
    <n v="332.38299999999998"/>
    <n v="210.16225800000001"/>
    <n v="214.10377"/>
    <n v="130.67630656681499"/>
    <n v="133.43187180165"/>
    <n v="229.33441999999999"/>
    <n v="184.31126"/>
    <n v="0.43114703677466598"/>
    <n v="10.477015549315"/>
    <n v="130.67630656681499"/>
  </r>
  <r>
    <x v="3"/>
    <n v="906348"/>
    <x v="20"/>
    <n v="0.44466666666666599"/>
    <n v="0.49833333333333302"/>
    <n v="0.44566666666666599"/>
    <n v="0.38933333333333298"/>
    <n v="0.40533333333333299"/>
    <n v="0.34866666666666601"/>
    <n v="0.45033333333333297"/>
    <n v="0.45733333333333298"/>
    <n v="0.45100000000000001"/>
    <n v="0.54300000000000004"/>
    <n v="0.46600000000000003"/>
    <n v="0.46033333333333298"/>
    <n v="0.44033333333333302"/>
    <n v="0.57399999999999995"/>
    <n v="0.507896666666666"/>
    <n v="0.44338999999999901"/>
    <n v="0.43114703677466598"/>
    <n v="0.43284047714066598"/>
    <n v="0.55791500000000005"/>
    <n v="0.50350799999999996"/>
    <n v="9.9440000000000008"/>
    <n v="10.157"/>
    <n v="10.337"/>
    <n v="10.458"/>
    <n v="10.411"/>
    <n v="10.667"/>
    <n v="10.48"/>
    <n v="10.86"/>
    <n v="11.84"/>
    <n v="11.363"/>
    <n v="11.391"/>
    <n v="11.081"/>
    <n v="10.179"/>
    <n v="12.351000000000001"/>
    <n v="12.177508"/>
    <n v="10.64879"/>
    <n v="10.477015549315"/>
    <n v="10.566024307917999"/>
    <n v="12.80172"/>
    <n v="12.318018"/>
    <n v="44.639000000000003"/>
    <n v="97.088999999999999"/>
    <n v="111.935"/>
    <n v="100.304"/>
    <n v="130.31799999999899"/>
    <n v="404.48500000000001"/>
    <n v="229.75899999999999"/>
    <n v="37.338000000000001"/>
    <n v="90.075000000000003"/>
    <n v="27.082999999999998"/>
    <n v="310.02100000000002"/>
    <n v="151.86199999999999"/>
    <n v="58.143000000000001"/>
    <n v="332.38299999999998"/>
    <n v="210.16225800000001"/>
    <n v="214.10377"/>
    <n v="130.67630656681499"/>
    <n v="133.43187180165"/>
    <n v="229.33441999999999"/>
    <n v="184.31126"/>
    <n v="0.55791500000000005"/>
    <n v="12.80172"/>
    <n v="229.33441999999999"/>
  </r>
  <r>
    <x v="4"/>
    <n v="188500"/>
    <x v="20"/>
    <n v="0.44466666666666599"/>
    <n v="0.49833333333333302"/>
    <n v="0.44566666666666599"/>
    <n v="0.38933333333333298"/>
    <n v="0.40533333333333299"/>
    <n v="0.34866666666666601"/>
    <n v="0.45033333333333297"/>
    <n v="0.45733333333333298"/>
    <n v="0.45100000000000001"/>
    <n v="0.54300000000000004"/>
    <n v="0.46600000000000003"/>
    <n v="0.46033333333333298"/>
    <n v="0.44033333333333302"/>
    <n v="0.57399999999999995"/>
    <n v="0.507896666666666"/>
    <n v="0.44338999999999901"/>
    <n v="0.43114703677466598"/>
    <n v="0.43284047714066598"/>
    <n v="0.55791500000000005"/>
    <n v="0.50350799999999996"/>
    <n v="9.9440000000000008"/>
    <n v="10.157"/>
    <n v="10.337"/>
    <n v="10.458"/>
    <n v="10.411"/>
    <n v="10.667"/>
    <n v="10.48"/>
    <n v="10.86"/>
    <n v="11.84"/>
    <n v="11.363"/>
    <n v="11.391"/>
    <n v="11.081"/>
    <n v="10.179"/>
    <n v="12.351000000000001"/>
    <n v="12.177508"/>
    <n v="10.64879"/>
    <n v="10.477015549315"/>
    <n v="10.566024307917999"/>
    <n v="12.80172"/>
    <n v="12.318018"/>
    <n v="44.639000000000003"/>
    <n v="97.088999999999999"/>
    <n v="111.935"/>
    <n v="100.304"/>
    <n v="130.31799999999899"/>
    <n v="404.48500000000001"/>
    <n v="229.75899999999999"/>
    <n v="37.338000000000001"/>
    <n v="90.075000000000003"/>
    <n v="27.082999999999998"/>
    <n v="310.02100000000002"/>
    <n v="151.86199999999999"/>
    <n v="58.143000000000001"/>
    <n v="332.38299999999998"/>
    <n v="210.16225800000001"/>
    <n v="214.10377"/>
    <n v="130.67630656681499"/>
    <n v="133.43187180165"/>
    <n v="229.33441999999999"/>
    <n v="184.31126"/>
    <n v="0.50350799999999996"/>
    <n v="12.318018"/>
    <n v="184.31126"/>
  </r>
  <r>
    <x v="0"/>
    <n v="719000"/>
    <x v="21"/>
    <n v="0.51500000000000001"/>
    <n v="0.63700000000000001"/>
    <n v="0.56299999999999994"/>
    <n v="0.51966666666666606"/>
    <n v="0.52100000000000002"/>
    <n v="0.587666666666666"/>
    <n v="0.480333333333333"/>
    <n v="0.66066666666666596"/>
    <n v="0.63066666666666604"/>
    <n v="0.75466666666666604"/>
    <n v="0.60566666666666602"/>
    <n v="0.49133333333333301"/>
    <n v="0.63033333333333297"/>
    <n v="0.63733333333333297"/>
    <n v="0.62433933333333302"/>
    <n v="0.49314999999999998"/>
    <n v="0.552105925578666"/>
    <n v="0.54733333458133304"/>
    <n v="0.69301500000000005"/>
    <n v="0.62892466666666602"/>
    <n v="11.19"/>
    <n v="11.651999999999999"/>
    <n v="11.287000000000001"/>
    <n v="11.682"/>
    <n v="11.839"/>
    <n v="12.895"/>
    <n v="12.624000000000001"/>
    <n v="11.887"/>
    <n v="12.071999999999999"/>
    <n v="12.974"/>
    <n v="13.795"/>
    <n v="12.195"/>
    <n v="12.086"/>
    <n v="13.622"/>
    <n v="14.05692"/>
    <n v="12.48977"/>
    <n v="11.904575548583001"/>
    <n v="11.995910025200001"/>
    <n v="14.860655"/>
    <n v="14.047650000000001"/>
    <n v="67.084000000000003"/>
    <n v="125.026"/>
    <n v="173.24700000000001"/>
    <n v="184.125"/>
    <n v="197.09800000000001"/>
    <n v="456.30599999999998"/>
    <n v="250.983"/>
    <n v="121.53400000000001"/>
    <n v="231.691"/>
    <n v="103.76900000000001"/>
    <n v="308.22699999999998"/>
    <n v="198.506"/>
    <n v="104.55800000000001"/>
    <n v="281.63499999999999"/>
    <n v="253.25304600000001"/>
    <n v="246.87381999999999"/>
    <n v="186.17641542883501"/>
    <n v="190.92878902106801"/>
    <n v="259.19231500000001"/>
    <n v="240.95086000000001"/>
    <n v="0.54733333458133304"/>
    <n v="11.995910025200001"/>
    <n v="190.92878902106801"/>
  </r>
  <r>
    <x v="1"/>
    <n v="400462"/>
    <x v="21"/>
    <n v="0.51500000000000001"/>
    <n v="0.63700000000000001"/>
    <n v="0.56299999999999994"/>
    <n v="0.51966666666666606"/>
    <n v="0.52100000000000002"/>
    <n v="0.587666666666666"/>
    <n v="0.480333333333333"/>
    <n v="0.66066666666666596"/>
    <n v="0.63066666666666604"/>
    <n v="0.75466666666666604"/>
    <n v="0.60566666666666602"/>
    <n v="0.49133333333333301"/>
    <n v="0.63033333333333297"/>
    <n v="0.63733333333333297"/>
    <n v="0.62433933333333302"/>
    <n v="0.49314999999999998"/>
    <n v="0.552105925578666"/>
    <n v="0.54733333458133304"/>
    <n v="0.69301500000000005"/>
    <n v="0.62892466666666602"/>
    <n v="11.19"/>
    <n v="11.651999999999999"/>
    <n v="11.287000000000001"/>
    <n v="11.682"/>
    <n v="11.839"/>
    <n v="12.895"/>
    <n v="12.624000000000001"/>
    <n v="11.887"/>
    <n v="12.071999999999999"/>
    <n v="12.974"/>
    <n v="13.795"/>
    <n v="12.195"/>
    <n v="12.086"/>
    <n v="13.622"/>
    <n v="14.05692"/>
    <n v="12.48977"/>
    <n v="11.904575548583001"/>
    <n v="11.995910025200001"/>
    <n v="14.860655"/>
    <n v="14.047650000000001"/>
    <n v="67.084000000000003"/>
    <n v="125.026"/>
    <n v="173.24700000000001"/>
    <n v="184.125"/>
    <n v="197.09800000000001"/>
    <n v="456.30599999999998"/>
    <n v="250.983"/>
    <n v="121.53400000000001"/>
    <n v="231.691"/>
    <n v="103.76900000000001"/>
    <n v="308.22699999999998"/>
    <n v="198.506"/>
    <n v="104.55800000000001"/>
    <n v="281.63499999999999"/>
    <n v="253.25304600000001"/>
    <n v="246.87381999999999"/>
    <n v="186.17641542883501"/>
    <n v="190.92878902106801"/>
    <n v="259.19231500000001"/>
    <n v="240.95086000000001"/>
    <n v="0.62433933333333302"/>
    <n v="14.05692"/>
    <n v="253.25304600000001"/>
  </r>
  <r>
    <x v="2"/>
    <n v="698643"/>
    <x v="21"/>
    <n v="0.51500000000000001"/>
    <n v="0.63700000000000001"/>
    <n v="0.56299999999999994"/>
    <n v="0.51966666666666606"/>
    <n v="0.52100000000000002"/>
    <n v="0.587666666666666"/>
    <n v="0.480333333333333"/>
    <n v="0.66066666666666596"/>
    <n v="0.63066666666666604"/>
    <n v="0.75466666666666604"/>
    <n v="0.60566666666666602"/>
    <n v="0.49133333333333301"/>
    <n v="0.63033333333333297"/>
    <n v="0.63733333333333297"/>
    <n v="0.62433933333333302"/>
    <n v="0.49314999999999998"/>
    <n v="0.552105925578666"/>
    <n v="0.54733333458133304"/>
    <n v="0.69301500000000005"/>
    <n v="0.62892466666666602"/>
    <n v="11.19"/>
    <n v="11.651999999999999"/>
    <n v="11.287000000000001"/>
    <n v="11.682"/>
    <n v="11.839"/>
    <n v="12.895"/>
    <n v="12.624000000000001"/>
    <n v="11.887"/>
    <n v="12.071999999999999"/>
    <n v="12.974"/>
    <n v="13.795"/>
    <n v="12.195"/>
    <n v="12.086"/>
    <n v="13.622"/>
    <n v="14.05692"/>
    <n v="12.48977"/>
    <n v="11.904575548583001"/>
    <n v="11.995910025200001"/>
    <n v="14.860655"/>
    <n v="14.047650000000001"/>
    <n v="67.084000000000003"/>
    <n v="125.026"/>
    <n v="173.24700000000001"/>
    <n v="184.125"/>
    <n v="197.09800000000001"/>
    <n v="456.30599999999998"/>
    <n v="250.983"/>
    <n v="121.53400000000001"/>
    <n v="231.691"/>
    <n v="103.76900000000001"/>
    <n v="308.22699999999998"/>
    <n v="198.506"/>
    <n v="104.55800000000001"/>
    <n v="281.63499999999999"/>
    <n v="253.25304600000001"/>
    <n v="246.87381999999999"/>
    <n v="186.17641542883501"/>
    <n v="190.92878902106801"/>
    <n v="259.19231500000001"/>
    <n v="240.95086000000001"/>
    <n v="0.552105925578666"/>
    <n v="11.904575548583001"/>
    <n v="186.17641542883501"/>
  </r>
  <r>
    <x v="3"/>
    <n v="950779"/>
    <x v="21"/>
    <n v="0.51500000000000001"/>
    <n v="0.63700000000000001"/>
    <n v="0.56299999999999994"/>
    <n v="0.51966666666666606"/>
    <n v="0.52100000000000002"/>
    <n v="0.587666666666666"/>
    <n v="0.480333333333333"/>
    <n v="0.66066666666666596"/>
    <n v="0.63066666666666604"/>
    <n v="0.75466666666666604"/>
    <n v="0.60566666666666602"/>
    <n v="0.49133333333333301"/>
    <n v="0.63033333333333297"/>
    <n v="0.63733333333333297"/>
    <n v="0.62433933333333302"/>
    <n v="0.49314999999999998"/>
    <n v="0.552105925578666"/>
    <n v="0.54733333458133304"/>
    <n v="0.69301500000000005"/>
    <n v="0.62892466666666602"/>
    <n v="11.19"/>
    <n v="11.651999999999999"/>
    <n v="11.287000000000001"/>
    <n v="11.682"/>
    <n v="11.839"/>
    <n v="12.895"/>
    <n v="12.624000000000001"/>
    <n v="11.887"/>
    <n v="12.071999999999999"/>
    <n v="12.974"/>
    <n v="13.795"/>
    <n v="12.195"/>
    <n v="12.086"/>
    <n v="13.622"/>
    <n v="14.05692"/>
    <n v="12.48977"/>
    <n v="11.904575548583001"/>
    <n v="11.995910025200001"/>
    <n v="14.860655"/>
    <n v="14.047650000000001"/>
    <n v="67.084000000000003"/>
    <n v="125.026"/>
    <n v="173.24700000000001"/>
    <n v="184.125"/>
    <n v="197.09800000000001"/>
    <n v="456.30599999999998"/>
    <n v="250.983"/>
    <n v="121.53400000000001"/>
    <n v="231.691"/>
    <n v="103.76900000000001"/>
    <n v="308.22699999999998"/>
    <n v="198.506"/>
    <n v="104.55800000000001"/>
    <n v="281.63499999999999"/>
    <n v="253.25304600000001"/>
    <n v="246.87381999999999"/>
    <n v="186.17641542883501"/>
    <n v="190.92878902106801"/>
    <n v="259.19231500000001"/>
    <n v="240.95086000000001"/>
    <n v="0.69301500000000005"/>
    <n v="14.860655"/>
    <n v="259.19231500000001"/>
  </r>
  <r>
    <x v="4"/>
    <n v="193452"/>
    <x v="21"/>
    <n v="0.51500000000000001"/>
    <n v="0.63700000000000001"/>
    <n v="0.56299999999999994"/>
    <n v="0.51966666666666606"/>
    <n v="0.52100000000000002"/>
    <n v="0.587666666666666"/>
    <n v="0.480333333333333"/>
    <n v="0.66066666666666596"/>
    <n v="0.63066666666666604"/>
    <n v="0.75466666666666604"/>
    <n v="0.60566666666666602"/>
    <n v="0.49133333333333301"/>
    <n v="0.63033333333333297"/>
    <n v="0.63733333333333297"/>
    <n v="0.62433933333333302"/>
    <n v="0.49314999999999998"/>
    <n v="0.552105925578666"/>
    <n v="0.54733333458133304"/>
    <n v="0.69301500000000005"/>
    <n v="0.62892466666666602"/>
    <n v="11.19"/>
    <n v="11.651999999999999"/>
    <n v="11.287000000000001"/>
    <n v="11.682"/>
    <n v="11.839"/>
    <n v="12.895"/>
    <n v="12.624000000000001"/>
    <n v="11.887"/>
    <n v="12.071999999999999"/>
    <n v="12.974"/>
    <n v="13.795"/>
    <n v="12.195"/>
    <n v="12.086"/>
    <n v="13.622"/>
    <n v="14.05692"/>
    <n v="12.48977"/>
    <n v="11.904575548583001"/>
    <n v="11.995910025200001"/>
    <n v="14.860655"/>
    <n v="14.047650000000001"/>
    <n v="67.084000000000003"/>
    <n v="125.026"/>
    <n v="173.24700000000001"/>
    <n v="184.125"/>
    <n v="197.09800000000001"/>
    <n v="456.30599999999998"/>
    <n v="250.983"/>
    <n v="121.53400000000001"/>
    <n v="231.691"/>
    <n v="103.76900000000001"/>
    <n v="308.22699999999998"/>
    <n v="198.506"/>
    <n v="104.55800000000001"/>
    <n v="281.63499999999999"/>
    <n v="253.25304600000001"/>
    <n v="246.87381999999999"/>
    <n v="186.17641542883501"/>
    <n v="190.92878902106801"/>
    <n v="259.19231500000001"/>
    <n v="240.95086000000001"/>
    <n v="0.62892466666666602"/>
    <n v="14.047650000000001"/>
    <n v="240.95086000000001"/>
  </r>
  <r>
    <x v="0"/>
    <n v="1405223"/>
    <x v="22"/>
    <n v="0.58299999999999996"/>
    <n v="0.76766666666666605"/>
    <n v="0.72"/>
    <n v="0.69333333333333302"/>
    <n v="0.69466666666666599"/>
    <n v="0.64800000000000002"/>
    <n v="0.629"/>
    <n v="0.72133333333333305"/>
    <n v="0.71733333333333305"/>
    <n v="0.71633333333333304"/>
    <n v="0.65033333333333299"/>
    <n v="0.69133333333333302"/>
    <n v="0.77466666666666595"/>
    <n v="0.66033333333333299"/>
    <n v="0.76157399999999997"/>
    <n v="0.64981"/>
    <n v="0.69951111074166605"/>
    <n v="0.69212285849800004"/>
    <n v="0.77094333333333298"/>
    <n v="0.78021200000000002"/>
    <n v="10.933"/>
    <n v="12.776999999999999"/>
    <n v="12.367000000000001"/>
    <n v="13.313000000000001"/>
    <n v="12.443"/>
    <n v="12.768000000000001"/>
    <n v="13.259"/>
    <n v="13.186"/>
    <n v="14.087999999999999"/>
    <n v="13.131"/>
    <n v="14.242000000000001"/>
    <n v="13.441000000000001"/>
    <n v="12.667999999999999"/>
    <n v="13.353999999999999"/>
    <n v="14.866866"/>
    <n v="13.27941"/>
    <n v="12.924015548413999"/>
    <n v="12.974164311798001"/>
    <n v="15.365489999999999"/>
    <n v="15.105181999999999"/>
    <n v="130.982"/>
    <n v="287.54700000000003"/>
    <n v="285.964"/>
    <n v="285.74900000000002"/>
    <n v="346.57499999999999"/>
    <n v="530.08699999999999"/>
    <n v="332.81400000000002"/>
    <n v="176.01300000000001"/>
    <n v="205.74600000000001"/>
    <n v="76.965999999999994"/>
    <n v="317.94799999999998"/>
    <n v="299.25400000000002"/>
    <n v="175.76999999999899"/>
    <n v="355.84899999999999"/>
    <n v="340.78654799999998"/>
    <n v="333.89607999999998"/>
    <n v="287.09856318892997"/>
    <n v="285.87512911574998"/>
    <n v="311.30731500000002"/>
    <n v="334.64377399999898"/>
    <n v="0.69212285849800004"/>
    <n v="12.974164311798001"/>
    <n v="285.87512911574998"/>
  </r>
  <r>
    <x v="1"/>
    <n v="410364"/>
    <x v="22"/>
    <n v="0.58299999999999996"/>
    <n v="0.76766666666666605"/>
    <n v="0.72"/>
    <n v="0.69333333333333302"/>
    <n v="0.69466666666666599"/>
    <n v="0.64800000000000002"/>
    <n v="0.629"/>
    <n v="0.72133333333333305"/>
    <n v="0.71733333333333305"/>
    <n v="0.71633333333333304"/>
    <n v="0.65033333333333299"/>
    <n v="0.69133333333333302"/>
    <n v="0.77466666666666595"/>
    <n v="0.66033333333333299"/>
    <n v="0.76157399999999997"/>
    <n v="0.64981"/>
    <n v="0.69951111074166605"/>
    <n v="0.69212285849800004"/>
    <n v="0.77094333333333298"/>
    <n v="0.78021200000000002"/>
    <n v="10.933"/>
    <n v="12.776999999999999"/>
    <n v="12.367000000000001"/>
    <n v="13.313000000000001"/>
    <n v="12.443"/>
    <n v="12.768000000000001"/>
    <n v="13.259"/>
    <n v="13.186"/>
    <n v="14.087999999999999"/>
    <n v="13.131"/>
    <n v="14.242000000000001"/>
    <n v="13.441000000000001"/>
    <n v="12.667999999999999"/>
    <n v="13.353999999999999"/>
    <n v="14.866866"/>
    <n v="13.27941"/>
    <n v="12.924015548413999"/>
    <n v="12.974164311798001"/>
    <n v="15.365489999999999"/>
    <n v="15.105181999999999"/>
    <n v="130.982"/>
    <n v="287.54700000000003"/>
    <n v="285.964"/>
    <n v="285.74900000000002"/>
    <n v="346.57499999999999"/>
    <n v="530.08699999999999"/>
    <n v="332.81400000000002"/>
    <n v="176.01300000000001"/>
    <n v="205.74600000000001"/>
    <n v="76.965999999999994"/>
    <n v="317.94799999999998"/>
    <n v="299.25400000000002"/>
    <n v="175.76999999999899"/>
    <n v="355.84899999999999"/>
    <n v="340.78654799999998"/>
    <n v="333.89607999999998"/>
    <n v="287.09856318892997"/>
    <n v="285.87512911574998"/>
    <n v="311.30731500000002"/>
    <n v="334.64377399999898"/>
    <n v="0.76157399999999997"/>
    <n v="14.866866"/>
    <n v="340.78654799999998"/>
  </r>
  <r>
    <x v="2"/>
    <n v="875484"/>
    <x v="22"/>
    <n v="0.58299999999999996"/>
    <n v="0.76766666666666605"/>
    <n v="0.72"/>
    <n v="0.69333333333333302"/>
    <n v="0.69466666666666599"/>
    <n v="0.64800000000000002"/>
    <n v="0.629"/>
    <n v="0.72133333333333305"/>
    <n v="0.71733333333333305"/>
    <n v="0.71633333333333304"/>
    <n v="0.65033333333333299"/>
    <n v="0.69133333333333302"/>
    <n v="0.77466666666666595"/>
    <n v="0.66033333333333299"/>
    <n v="0.76157399999999997"/>
    <n v="0.64981"/>
    <n v="0.69951111074166605"/>
    <n v="0.69212285849800004"/>
    <n v="0.77094333333333298"/>
    <n v="0.78021200000000002"/>
    <n v="10.933"/>
    <n v="12.776999999999999"/>
    <n v="12.367000000000001"/>
    <n v="13.313000000000001"/>
    <n v="12.443"/>
    <n v="12.768000000000001"/>
    <n v="13.259"/>
    <n v="13.186"/>
    <n v="14.087999999999999"/>
    <n v="13.131"/>
    <n v="14.242000000000001"/>
    <n v="13.441000000000001"/>
    <n v="12.667999999999999"/>
    <n v="13.353999999999999"/>
    <n v="14.866866"/>
    <n v="13.27941"/>
    <n v="12.924015548413999"/>
    <n v="12.974164311798001"/>
    <n v="15.365489999999999"/>
    <n v="15.105181999999999"/>
    <n v="130.982"/>
    <n v="287.54700000000003"/>
    <n v="285.964"/>
    <n v="285.74900000000002"/>
    <n v="346.57499999999999"/>
    <n v="530.08699999999999"/>
    <n v="332.81400000000002"/>
    <n v="176.01300000000001"/>
    <n v="205.74600000000001"/>
    <n v="76.965999999999994"/>
    <n v="317.94799999999998"/>
    <n v="299.25400000000002"/>
    <n v="175.76999999999899"/>
    <n v="355.84899999999999"/>
    <n v="340.78654799999998"/>
    <n v="333.89607999999998"/>
    <n v="287.09856318892997"/>
    <n v="285.87512911574998"/>
    <n v="311.30731500000002"/>
    <n v="334.64377399999898"/>
    <n v="0.69951111074166605"/>
    <n v="12.924015548413999"/>
    <n v="287.09856318892997"/>
  </r>
  <r>
    <x v="3"/>
    <n v="1011269"/>
    <x v="22"/>
    <n v="0.58299999999999996"/>
    <n v="0.76766666666666605"/>
    <n v="0.72"/>
    <n v="0.69333333333333302"/>
    <n v="0.69466666666666599"/>
    <n v="0.64800000000000002"/>
    <n v="0.629"/>
    <n v="0.72133333333333305"/>
    <n v="0.71733333333333305"/>
    <n v="0.71633333333333304"/>
    <n v="0.65033333333333299"/>
    <n v="0.69133333333333302"/>
    <n v="0.77466666666666595"/>
    <n v="0.66033333333333299"/>
    <n v="0.76157399999999997"/>
    <n v="0.64981"/>
    <n v="0.69951111074166605"/>
    <n v="0.69212285849800004"/>
    <n v="0.77094333333333298"/>
    <n v="0.78021200000000002"/>
    <n v="10.933"/>
    <n v="12.776999999999999"/>
    <n v="12.367000000000001"/>
    <n v="13.313000000000001"/>
    <n v="12.443"/>
    <n v="12.768000000000001"/>
    <n v="13.259"/>
    <n v="13.186"/>
    <n v="14.087999999999999"/>
    <n v="13.131"/>
    <n v="14.242000000000001"/>
    <n v="13.441000000000001"/>
    <n v="12.667999999999999"/>
    <n v="13.353999999999999"/>
    <n v="14.866866"/>
    <n v="13.27941"/>
    <n v="12.924015548413999"/>
    <n v="12.974164311798001"/>
    <n v="15.365489999999999"/>
    <n v="15.105181999999999"/>
    <n v="130.982"/>
    <n v="287.54700000000003"/>
    <n v="285.964"/>
    <n v="285.74900000000002"/>
    <n v="346.57499999999999"/>
    <n v="530.08699999999999"/>
    <n v="332.81400000000002"/>
    <n v="176.01300000000001"/>
    <n v="205.74600000000001"/>
    <n v="76.965999999999994"/>
    <n v="317.94799999999998"/>
    <n v="299.25400000000002"/>
    <n v="175.76999999999899"/>
    <n v="355.84899999999999"/>
    <n v="340.78654799999998"/>
    <n v="333.89607999999998"/>
    <n v="287.09856318892997"/>
    <n v="285.87512911574998"/>
    <n v="311.30731500000002"/>
    <n v="334.64377399999898"/>
    <n v="0.77094333333333298"/>
    <n v="15.365489999999999"/>
    <n v="311.30731500000002"/>
  </r>
  <r>
    <x v="4"/>
    <n v="215491"/>
    <x v="22"/>
    <n v="0.58299999999999996"/>
    <n v="0.76766666666666605"/>
    <n v="0.72"/>
    <n v="0.69333333333333302"/>
    <n v="0.69466666666666599"/>
    <n v="0.64800000000000002"/>
    <n v="0.629"/>
    <n v="0.72133333333333305"/>
    <n v="0.71733333333333305"/>
    <n v="0.71633333333333304"/>
    <n v="0.65033333333333299"/>
    <n v="0.69133333333333302"/>
    <n v="0.77466666666666595"/>
    <n v="0.66033333333333299"/>
    <n v="0.76157399999999997"/>
    <n v="0.64981"/>
    <n v="0.69951111074166605"/>
    <n v="0.69212285849800004"/>
    <n v="0.77094333333333298"/>
    <n v="0.78021200000000002"/>
    <n v="10.933"/>
    <n v="12.776999999999999"/>
    <n v="12.367000000000001"/>
    <n v="13.313000000000001"/>
    <n v="12.443"/>
    <n v="12.768000000000001"/>
    <n v="13.259"/>
    <n v="13.186"/>
    <n v="14.087999999999999"/>
    <n v="13.131"/>
    <n v="14.242000000000001"/>
    <n v="13.441000000000001"/>
    <n v="12.667999999999999"/>
    <n v="13.353999999999999"/>
    <n v="14.866866"/>
    <n v="13.27941"/>
    <n v="12.924015548413999"/>
    <n v="12.974164311798001"/>
    <n v="15.365489999999999"/>
    <n v="15.105181999999999"/>
    <n v="130.982"/>
    <n v="287.54700000000003"/>
    <n v="285.964"/>
    <n v="285.74900000000002"/>
    <n v="346.57499999999999"/>
    <n v="530.08699999999999"/>
    <n v="332.81400000000002"/>
    <n v="176.01300000000001"/>
    <n v="205.74600000000001"/>
    <n v="76.965999999999994"/>
    <n v="317.94799999999998"/>
    <n v="299.25400000000002"/>
    <n v="175.76999999999899"/>
    <n v="355.84899999999999"/>
    <n v="340.78654799999998"/>
    <n v="333.89607999999998"/>
    <n v="287.09856318892997"/>
    <n v="285.87512911574998"/>
    <n v="311.30731500000002"/>
    <n v="334.64377399999898"/>
    <n v="0.78021200000000002"/>
    <n v="15.105181999999999"/>
    <n v="334.64377399999898"/>
  </r>
  <r>
    <x v="0"/>
    <n v="1500588.37"/>
    <x v="23"/>
    <n v="0.52100000000000002"/>
    <n v="0.586666666666666"/>
    <n v="0.57466666666666599"/>
    <n v="0.49233333333333301"/>
    <n v="0.54933333333333301"/>
    <n v="0.61799999999999999"/>
    <n v="0.545333333333333"/>
    <n v="0.61033333333333295"/>
    <n v="0.66900000000000004"/>
    <n v="0.68366666666666598"/>
    <n v="0.59599999999999997"/>
    <n v="0.59599999999999997"/>
    <n v="0.59233333333333305"/>
    <n v="0.64166666666666605"/>
    <n v="0.65215999999999996"/>
    <n v="0.56025666666666596"/>
    <n v="0.55408814779999904"/>
    <n v="0.55795952504266599"/>
    <n v="0.69455500000000003"/>
    <n v="0.64693733333333303"/>
    <n v="11.526999999999999"/>
    <n v="12.632"/>
    <n v="11.715999999999999"/>
    <n v="12.323"/>
    <n v="12.058"/>
    <n v="10.943"/>
    <n v="11.727"/>
    <n v="12.895"/>
    <n v="13.297000000000001"/>
    <n v="13.186"/>
    <n v="12.034000000000001"/>
    <n v="12.03"/>
    <n v="12.528"/>
    <n v="12.621"/>
    <n v="13.588863999999999"/>
    <n v="11.79189"/>
    <n v="12.094775548714001"/>
    <n v="12.142290024639999"/>
    <n v="14.143795000000001"/>
    <n v="13.907349999999999"/>
    <n v="22.72"/>
    <n v="56.039000000000001"/>
    <n v="83.885000000000005"/>
    <n v="143.77099999999999"/>
    <n v="128.90799999999999"/>
    <n v="381.815"/>
    <n v="232.92099999999999"/>
    <n v="69.103999999999999"/>
    <n v="165.45599999999999"/>
    <n v="80.028999999999996"/>
    <n v="278.40600000000001"/>
    <n v="212.66"/>
    <n v="36.412999999999997"/>
    <n v="325.74700000000001"/>
    <n v="212.02088800000001"/>
    <n v="231.74661"/>
    <n v="133.832825447137"/>
    <n v="145.01991608863199"/>
    <n v="234.735345"/>
    <n v="202.80695800000001"/>
    <n v="0.55795952504266599"/>
    <n v="12.142290024639999"/>
    <n v="145.01991608863199"/>
  </r>
  <r>
    <x v="1"/>
    <n v="485672.51"/>
    <x v="23"/>
    <n v="0.52100000000000002"/>
    <n v="0.586666666666666"/>
    <n v="0.57466666666666599"/>
    <n v="0.49233333333333301"/>
    <n v="0.54933333333333301"/>
    <n v="0.61799999999999999"/>
    <n v="0.545333333333333"/>
    <n v="0.61033333333333295"/>
    <n v="0.66900000000000004"/>
    <n v="0.68366666666666598"/>
    <n v="0.59599999999999997"/>
    <n v="0.59599999999999997"/>
    <n v="0.59233333333333305"/>
    <n v="0.64166666666666605"/>
    <n v="0.65215999999999996"/>
    <n v="0.56025666666666596"/>
    <n v="0.55408814779999904"/>
    <n v="0.55795952504266599"/>
    <n v="0.69455500000000003"/>
    <n v="0.64693733333333303"/>
    <n v="11.526999999999999"/>
    <n v="12.632"/>
    <n v="11.715999999999999"/>
    <n v="12.323"/>
    <n v="12.058"/>
    <n v="10.943"/>
    <n v="11.727"/>
    <n v="12.895"/>
    <n v="13.297000000000001"/>
    <n v="13.186"/>
    <n v="12.034000000000001"/>
    <n v="12.03"/>
    <n v="12.528"/>
    <n v="12.621"/>
    <n v="13.588863999999999"/>
    <n v="11.79189"/>
    <n v="12.094775548714001"/>
    <n v="12.142290024639999"/>
    <n v="14.143795000000001"/>
    <n v="13.907349999999999"/>
    <n v="22.72"/>
    <n v="56.039000000000001"/>
    <n v="83.885000000000005"/>
    <n v="143.77099999999999"/>
    <n v="128.90799999999999"/>
    <n v="381.815"/>
    <n v="232.92099999999999"/>
    <n v="69.103999999999999"/>
    <n v="165.45599999999999"/>
    <n v="80.028999999999996"/>
    <n v="278.40600000000001"/>
    <n v="212.66"/>
    <n v="36.412999999999997"/>
    <n v="325.74700000000001"/>
    <n v="212.02088800000001"/>
    <n v="231.74661"/>
    <n v="133.832825447137"/>
    <n v="145.01991608863199"/>
    <n v="234.735345"/>
    <n v="202.80695800000001"/>
    <n v="0.65215999999999996"/>
    <n v="13.588863999999999"/>
    <n v="212.02088800000001"/>
  </r>
  <r>
    <x v="2"/>
    <n v="897574.18"/>
    <x v="23"/>
    <n v="0.52100000000000002"/>
    <n v="0.586666666666666"/>
    <n v="0.57466666666666599"/>
    <n v="0.49233333333333301"/>
    <n v="0.54933333333333301"/>
    <n v="0.61799999999999999"/>
    <n v="0.545333333333333"/>
    <n v="0.61033333333333295"/>
    <n v="0.66900000000000004"/>
    <n v="0.68366666666666598"/>
    <n v="0.59599999999999997"/>
    <n v="0.59599999999999997"/>
    <n v="0.59233333333333305"/>
    <n v="0.64166666666666605"/>
    <n v="0.65215999999999996"/>
    <n v="0.56025666666666596"/>
    <n v="0.55408814779999904"/>
    <n v="0.55795952504266599"/>
    <n v="0.69455500000000003"/>
    <n v="0.64693733333333303"/>
    <n v="11.526999999999999"/>
    <n v="12.632"/>
    <n v="11.715999999999999"/>
    <n v="12.323"/>
    <n v="12.058"/>
    <n v="10.943"/>
    <n v="11.727"/>
    <n v="12.895"/>
    <n v="13.297000000000001"/>
    <n v="13.186"/>
    <n v="12.034000000000001"/>
    <n v="12.03"/>
    <n v="12.528"/>
    <n v="12.621"/>
    <n v="13.588863999999999"/>
    <n v="11.79189"/>
    <n v="12.094775548714001"/>
    <n v="12.142290024639999"/>
    <n v="14.143795000000001"/>
    <n v="13.907349999999999"/>
    <n v="22.72"/>
    <n v="56.039000000000001"/>
    <n v="83.885000000000005"/>
    <n v="143.77099999999999"/>
    <n v="128.90799999999999"/>
    <n v="381.815"/>
    <n v="232.92099999999999"/>
    <n v="69.103999999999999"/>
    <n v="165.45599999999999"/>
    <n v="80.028999999999996"/>
    <n v="278.40600000000001"/>
    <n v="212.66"/>
    <n v="36.412999999999997"/>
    <n v="325.74700000000001"/>
    <n v="212.02088800000001"/>
    <n v="231.74661"/>
    <n v="133.832825447137"/>
    <n v="145.01991608863199"/>
    <n v="234.735345"/>
    <n v="202.80695800000001"/>
    <n v="0.55408814779999904"/>
    <n v="12.094775548714001"/>
    <n v="133.832825447137"/>
  </r>
  <r>
    <x v="3"/>
    <n v="1206587.27"/>
    <x v="23"/>
    <n v="0.52100000000000002"/>
    <n v="0.586666666666666"/>
    <n v="0.57466666666666599"/>
    <n v="0.49233333333333301"/>
    <n v="0.54933333333333301"/>
    <n v="0.61799999999999999"/>
    <n v="0.545333333333333"/>
    <n v="0.61033333333333295"/>
    <n v="0.66900000000000004"/>
    <n v="0.68366666666666598"/>
    <n v="0.59599999999999997"/>
    <n v="0.59599999999999997"/>
    <n v="0.59233333333333305"/>
    <n v="0.64166666666666605"/>
    <n v="0.65215999999999996"/>
    <n v="0.56025666666666596"/>
    <n v="0.55408814779999904"/>
    <n v="0.55795952504266599"/>
    <n v="0.69455500000000003"/>
    <n v="0.64693733333333303"/>
    <n v="11.526999999999999"/>
    <n v="12.632"/>
    <n v="11.715999999999999"/>
    <n v="12.323"/>
    <n v="12.058"/>
    <n v="10.943"/>
    <n v="11.727"/>
    <n v="12.895"/>
    <n v="13.297000000000001"/>
    <n v="13.186"/>
    <n v="12.034000000000001"/>
    <n v="12.03"/>
    <n v="12.528"/>
    <n v="12.621"/>
    <n v="13.588863999999999"/>
    <n v="11.79189"/>
    <n v="12.094775548714001"/>
    <n v="12.142290024639999"/>
    <n v="14.143795000000001"/>
    <n v="13.907349999999999"/>
    <n v="22.72"/>
    <n v="56.039000000000001"/>
    <n v="83.885000000000005"/>
    <n v="143.77099999999999"/>
    <n v="128.90799999999999"/>
    <n v="381.815"/>
    <n v="232.92099999999999"/>
    <n v="69.103999999999999"/>
    <n v="165.45599999999999"/>
    <n v="80.028999999999996"/>
    <n v="278.40600000000001"/>
    <n v="212.66"/>
    <n v="36.412999999999997"/>
    <n v="325.74700000000001"/>
    <n v="212.02088800000001"/>
    <n v="231.74661"/>
    <n v="133.832825447137"/>
    <n v="145.01991608863199"/>
    <n v="234.735345"/>
    <n v="202.80695800000001"/>
    <n v="0.69455500000000003"/>
    <n v="14.143795000000001"/>
    <n v="234.735345"/>
  </r>
  <r>
    <x v="4"/>
    <n v="295463.11"/>
    <x v="23"/>
    <n v="0.52100000000000002"/>
    <n v="0.586666666666666"/>
    <n v="0.57466666666666599"/>
    <n v="0.49233333333333301"/>
    <n v="0.54933333333333301"/>
    <n v="0.61799999999999999"/>
    <n v="0.545333333333333"/>
    <n v="0.61033333333333295"/>
    <n v="0.66900000000000004"/>
    <n v="0.68366666666666598"/>
    <n v="0.59599999999999997"/>
    <n v="0.59599999999999997"/>
    <n v="0.59233333333333305"/>
    <n v="0.64166666666666605"/>
    <n v="0.65215999999999996"/>
    <n v="0.56025666666666596"/>
    <n v="0.55408814779999904"/>
    <n v="0.55795952504266599"/>
    <n v="0.69455500000000003"/>
    <n v="0.64693733333333303"/>
    <n v="11.526999999999999"/>
    <n v="12.632"/>
    <n v="11.715999999999999"/>
    <n v="12.323"/>
    <n v="12.058"/>
    <n v="10.943"/>
    <n v="11.727"/>
    <n v="12.895"/>
    <n v="13.297000000000001"/>
    <n v="13.186"/>
    <n v="12.034000000000001"/>
    <n v="12.03"/>
    <n v="12.528"/>
    <n v="12.621"/>
    <n v="13.588863999999999"/>
    <n v="11.79189"/>
    <n v="12.094775548714001"/>
    <n v="12.142290024639999"/>
    <n v="14.143795000000001"/>
    <n v="13.907349999999999"/>
    <n v="22.72"/>
    <n v="56.039000000000001"/>
    <n v="83.885000000000005"/>
    <n v="143.77099999999999"/>
    <n v="128.90799999999999"/>
    <n v="381.815"/>
    <n v="232.92099999999999"/>
    <n v="69.103999999999999"/>
    <n v="165.45599999999999"/>
    <n v="80.028999999999996"/>
    <n v="278.40600000000001"/>
    <n v="212.66"/>
    <n v="36.412999999999997"/>
    <n v="325.74700000000001"/>
    <n v="212.02088800000001"/>
    <n v="231.74661"/>
    <n v="133.832825447137"/>
    <n v="145.01991608863199"/>
    <n v="234.735345"/>
    <n v="202.80695800000001"/>
    <n v="0.64693733333333303"/>
    <n v="13.907349999999999"/>
    <n v="202.80695800000001"/>
  </r>
  <r>
    <x v="0"/>
    <n v="1421288.11"/>
    <x v="24"/>
    <n v="0.42199999999999999"/>
    <n v="0.454666666666666"/>
    <n v="0.40466666666666601"/>
    <n v="0.45200000000000001"/>
    <n v="0.37966666666666599"/>
    <n v="0.50833333333333297"/>
    <n v="0.47166666666666601"/>
    <n v="0.454666666666666"/>
    <n v="0.39799999999999902"/>
    <n v="0.48466666666666602"/>
    <n v="0.42566666666666603"/>
    <n v="0.49666666666666598"/>
    <n v="0.443"/>
    <n v="0.48966666666666597"/>
    <n v="0.49979400000000002"/>
    <n v="0.47775333333333297"/>
    <n v="0.43169185159599999"/>
    <n v="0.44134857233800001"/>
    <n v="0.52908166666666601"/>
    <n v="0.51595133333333298"/>
    <n v="10.352"/>
    <n v="12.31"/>
    <n v="11.151"/>
    <n v="12.074999999999999"/>
    <n v="11.180999999999999"/>
    <n v="11.198"/>
    <n v="11.502000000000001"/>
    <n v="12.648999999999999"/>
    <n v="12.243"/>
    <n v="12.869"/>
    <n v="11.073"/>
    <n v="11.974"/>
    <n v="11.484999999999999"/>
    <n v="11.573"/>
    <n v="12.962618000000001"/>
    <n v="11.622909999999999"/>
    <n v="11.575485549084901"/>
    <n v="11.675238594748"/>
    <n v="13.472099999999999"/>
    <n v="13.379659999999999"/>
    <n v="39.130000000000003"/>
    <n v="39.704999999999998"/>
    <n v="55.753999999999998"/>
    <n v="81.92"/>
    <n v="76.813999999999993"/>
    <n v="421.44600000000003"/>
    <n v="180.898"/>
    <n v="32.68"/>
    <n v="70.53"/>
    <n v="37.662999999999997"/>
    <n v="215.691"/>
    <n v="130.70499999999899"/>
    <n v="31.353999999999999"/>
    <n v="175.167"/>
    <n v="153.31496000000001"/>
    <n v="177.140819999999"/>
    <n v="88.485245472895997"/>
    <n v="97.207498856952"/>
    <n v="163.57874000000001"/>
    <n v="139.66656399999999"/>
    <n v="0.44134857233800001"/>
    <n v="11.675238594748"/>
    <n v="97.207498856952"/>
  </r>
  <r>
    <x v="1"/>
    <n v="530704.97"/>
    <x v="24"/>
    <n v="0.42199999999999999"/>
    <n v="0.454666666666666"/>
    <n v="0.40466666666666601"/>
    <n v="0.45200000000000001"/>
    <n v="0.37966666666666599"/>
    <n v="0.50833333333333297"/>
    <n v="0.47166666666666601"/>
    <n v="0.454666666666666"/>
    <n v="0.39799999999999902"/>
    <n v="0.48466666666666602"/>
    <n v="0.42566666666666603"/>
    <n v="0.49666666666666598"/>
    <n v="0.443"/>
    <n v="0.48966666666666597"/>
    <n v="0.49979400000000002"/>
    <n v="0.47775333333333297"/>
    <n v="0.43169185159599999"/>
    <n v="0.44134857233800001"/>
    <n v="0.52908166666666601"/>
    <n v="0.51595133333333298"/>
    <n v="10.352"/>
    <n v="12.31"/>
    <n v="11.151"/>
    <n v="12.074999999999999"/>
    <n v="11.180999999999999"/>
    <n v="11.198"/>
    <n v="11.502000000000001"/>
    <n v="12.648999999999999"/>
    <n v="12.243"/>
    <n v="12.869"/>
    <n v="11.073"/>
    <n v="11.974"/>
    <n v="11.484999999999999"/>
    <n v="11.573"/>
    <n v="12.962618000000001"/>
    <n v="11.622909999999999"/>
    <n v="11.575485549084901"/>
    <n v="11.675238594748"/>
    <n v="13.472099999999999"/>
    <n v="13.379659999999999"/>
    <n v="39.130000000000003"/>
    <n v="39.704999999999998"/>
    <n v="55.753999999999998"/>
    <n v="81.92"/>
    <n v="76.813999999999993"/>
    <n v="421.44600000000003"/>
    <n v="180.898"/>
    <n v="32.68"/>
    <n v="70.53"/>
    <n v="37.662999999999997"/>
    <n v="215.691"/>
    <n v="130.70499999999899"/>
    <n v="31.353999999999999"/>
    <n v="175.167"/>
    <n v="153.31496000000001"/>
    <n v="177.140819999999"/>
    <n v="88.485245472895997"/>
    <n v="97.207498856952"/>
    <n v="163.57874000000001"/>
    <n v="139.66656399999999"/>
    <n v="0.49979400000000002"/>
    <n v="12.962618000000001"/>
    <n v="153.31496000000001"/>
  </r>
  <r>
    <x v="2"/>
    <n v="807044.07"/>
    <x v="24"/>
    <n v="0.42199999999999999"/>
    <n v="0.454666666666666"/>
    <n v="0.40466666666666601"/>
    <n v="0.45200000000000001"/>
    <n v="0.37966666666666599"/>
    <n v="0.50833333333333297"/>
    <n v="0.47166666666666601"/>
    <n v="0.454666666666666"/>
    <n v="0.39799999999999902"/>
    <n v="0.48466666666666602"/>
    <n v="0.42566666666666603"/>
    <n v="0.49666666666666598"/>
    <n v="0.443"/>
    <n v="0.48966666666666597"/>
    <n v="0.49979400000000002"/>
    <n v="0.47775333333333297"/>
    <n v="0.43169185159599999"/>
    <n v="0.44134857233800001"/>
    <n v="0.52908166666666601"/>
    <n v="0.51595133333333298"/>
    <n v="10.352"/>
    <n v="12.31"/>
    <n v="11.151"/>
    <n v="12.074999999999999"/>
    <n v="11.180999999999999"/>
    <n v="11.198"/>
    <n v="11.502000000000001"/>
    <n v="12.648999999999999"/>
    <n v="12.243"/>
    <n v="12.869"/>
    <n v="11.073"/>
    <n v="11.974"/>
    <n v="11.484999999999999"/>
    <n v="11.573"/>
    <n v="12.962618000000001"/>
    <n v="11.622909999999999"/>
    <n v="11.575485549084901"/>
    <n v="11.675238594748"/>
    <n v="13.472099999999999"/>
    <n v="13.379659999999999"/>
    <n v="39.130000000000003"/>
    <n v="39.704999999999998"/>
    <n v="55.753999999999998"/>
    <n v="81.92"/>
    <n v="76.813999999999993"/>
    <n v="421.44600000000003"/>
    <n v="180.898"/>
    <n v="32.68"/>
    <n v="70.53"/>
    <n v="37.662999999999997"/>
    <n v="215.691"/>
    <n v="130.70499999999899"/>
    <n v="31.353999999999999"/>
    <n v="175.167"/>
    <n v="153.31496000000001"/>
    <n v="177.140819999999"/>
    <n v="88.485245472895997"/>
    <n v="97.207498856952"/>
    <n v="163.57874000000001"/>
    <n v="139.66656399999999"/>
    <n v="0.43169185159599999"/>
    <n v="11.575485549084901"/>
    <n v="88.485245472895997"/>
  </r>
  <r>
    <x v="3"/>
    <n v="1155730.28"/>
    <x v="24"/>
    <n v="0.42199999999999999"/>
    <n v="0.454666666666666"/>
    <n v="0.40466666666666601"/>
    <n v="0.45200000000000001"/>
    <n v="0.37966666666666599"/>
    <n v="0.50833333333333297"/>
    <n v="0.47166666666666601"/>
    <n v="0.454666666666666"/>
    <n v="0.39799999999999902"/>
    <n v="0.48466666666666602"/>
    <n v="0.42566666666666603"/>
    <n v="0.49666666666666598"/>
    <n v="0.443"/>
    <n v="0.48966666666666597"/>
    <n v="0.49979400000000002"/>
    <n v="0.47775333333333297"/>
    <n v="0.43169185159599999"/>
    <n v="0.44134857233800001"/>
    <n v="0.52908166666666601"/>
    <n v="0.51595133333333298"/>
    <n v="10.352"/>
    <n v="12.31"/>
    <n v="11.151"/>
    <n v="12.074999999999999"/>
    <n v="11.180999999999999"/>
    <n v="11.198"/>
    <n v="11.502000000000001"/>
    <n v="12.648999999999999"/>
    <n v="12.243"/>
    <n v="12.869"/>
    <n v="11.073"/>
    <n v="11.974"/>
    <n v="11.484999999999999"/>
    <n v="11.573"/>
    <n v="12.962618000000001"/>
    <n v="11.622909999999999"/>
    <n v="11.575485549084901"/>
    <n v="11.675238594748"/>
    <n v="13.472099999999999"/>
    <n v="13.379659999999999"/>
    <n v="39.130000000000003"/>
    <n v="39.704999999999998"/>
    <n v="55.753999999999998"/>
    <n v="81.92"/>
    <n v="76.813999999999993"/>
    <n v="421.44600000000003"/>
    <n v="180.898"/>
    <n v="32.68"/>
    <n v="70.53"/>
    <n v="37.662999999999997"/>
    <n v="215.691"/>
    <n v="130.70499999999899"/>
    <n v="31.353999999999999"/>
    <n v="175.167"/>
    <n v="153.31496000000001"/>
    <n v="177.140819999999"/>
    <n v="88.485245472895997"/>
    <n v="97.207498856952"/>
    <n v="163.57874000000001"/>
    <n v="139.66656399999999"/>
    <n v="0.52908166666666601"/>
    <n v="13.472099999999999"/>
    <n v="163.57874000000001"/>
  </r>
  <r>
    <x v="4"/>
    <n v="270168.31"/>
    <x v="24"/>
    <n v="0.42199999999999999"/>
    <n v="0.454666666666666"/>
    <n v="0.40466666666666601"/>
    <n v="0.45200000000000001"/>
    <n v="0.37966666666666599"/>
    <n v="0.50833333333333297"/>
    <n v="0.47166666666666601"/>
    <n v="0.454666666666666"/>
    <n v="0.39799999999999902"/>
    <n v="0.48466666666666602"/>
    <n v="0.42566666666666603"/>
    <n v="0.49666666666666598"/>
    <n v="0.443"/>
    <n v="0.48966666666666597"/>
    <n v="0.49979400000000002"/>
    <n v="0.47775333333333297"/>
    <n v="0.43169185159599999"/>
    <n v="0.44134857233800001"/>
    <n v="0.52908166666666601"/>
    <n v="0.51595133333333298"/>
    <n v="10.352"/>
    <n v="12.31"/>
    <n v="11.151"/>
    <n v="12.074999999999999"/>
    <n v="11.180999999999999"/>
    <n v="11.198"/>
    <n v="11.502000000000001"/>
    <n v="12.648999999999999"/>
    <n v="12.243"/>
    <n v="12.869"/>
    <n v="11.073"/>
    <n v="11.974"/>
    <n v="11.484999999999999"/>
    <n v="11.573"/>
    <n v="12.962618000000001"/>
    <n v="11.622909999999999"/>
    <n v="11.575485549084901"/>
    <n v="11.675238594748"/>
    <n v="13.472099999999999"/>
    <n v="13.379659999999999"/>
    <n v="39.130000000000003"/>
    <n v="39.704999999999998"/>
    <n v="55.753999999999998"/>
    <n v="81.92"/>
    <n v="76.813999999999993"/>
    <n v="421.44600000000003"/>
    <n v="180.898"/>
    <n v="32.68"/>
    <n v="70.53"/>
    <n v="37.662999999999997"/>
    <n v="215.691"/>
    <n v="130.70499999999899"/>
    <n v="31.353999999999999"/>
    <n v="175.167"/>
    <n v="153.31496000000001"/>
    <n v="177.140819999999"/>
    <n v="88.485245472895997"/>
    <n v="97.207498856952"/>
    <n v="163.57874000000001"/>
    <n v="139.66656399999999"/>
    <n v="0.51595133333333298"/>
    <n v="13.379659999999999"/>
    <n v="139.66656399999999"/>
  </r>
  <r>
    <x v="0"/>
    <n v="1797486.11"/>
    <x v="25"/>
    <n v="0.60533333333333295"/>
    <n v="0.69433333333333302"/>
    <n v="0.60433333333333294"/>
    <n v="0.667333333333333"/>
    <n v="0.68200000000000005"/>
    <n v="0.65499999999999903"/>
    <n v="0.64066666666666605"/>
    <n v="0.72933333333333294"/>
    <n v="0.68833333333333302"/>
    <n v="0.791333333333333"/>
    <n v="0.68066666666666598"/>
    <n v="0.709666666666666"/>
    <n v="0.63333333333333297"/>
    <n v="0.68"/>
    <n v="0.755128666666666"/>
    <n v="0.66092333333333297"/>
    <n v="0.65920999961999904"/>
    <n v="0.66429666803666598"/>
    <n v="0.79276499999999905"/>
    <n v="0.77268466666666602"/>
    <n v="10.885999999999999"/>
    <n v="11.202999999999999"/>
    <n v="10.371"/>
    <n v="10.952"/>
    <n v="10.595000000000001"/>
    <n v="11.382"/>
    <n v="11.641"/>
    <n v="12.573"/>
    <n v="12.081"/>
    <n v="12.79"/>
    <n v="11.257"/>
    <n v="11.803000000000001"/>
    <n v="11.102"/>
    <n v="10.715"/>
    <n v="12.742388"/>
    <n v="11.617209999999901"/>
    <n v="10.986262215794"/>
    <n v="11.197157165804001"/>
    <n v="13.30922"/>
    <n v="12.940747999999999"/>
    <n v="251.53700000000001"/>
    <n v="200.12"/>
    <n v="281.23700000000002"/>
    <n v="263.51400000000001"/>
    <n v="308.791"/>
    <n v="609.94500000000005"/>
    <n v="395.74900000000002"/>
    <n v="179.09100000000001"/>
    <n v="214.23099999999999"/>
    <n v="117.752"/>
    <n v="524.20000000000005"/>
    <n v="312.05"/>
    <n v="214.184"/>
    <n v="558.23699999999997"/>
    <n v="406.634072"/>
    <n v="381.47919000000002"/>
    <n v="295.00036536092199"/>
    <n v="298.202447850292"/>
    <n v="423.99309"/>
    <n v="377.58552400000002"/>
    <n v="0.66429666803666598"/>
    <n v="11.197157165804001"/>
    <n v="298.202447850292"/>
  </r>
  <r>
    <x v="1"/>
    <n v="761883.04"/>
    <x v="25"/>
    <n v="0.60533333333333295"/>
    <n v="0.69433333333333302"/>
    <n v="0.60433333333333294"/>
    <n v="0.667333333333333"/>
    <n v="0.68200000000000005"/>
    <n v="0.65499999999999903"/>
    <n v="0.64066666666666605"/>
    <n v="0.72933333333333294"/>
    <n v="0.68833333333333302"/>
    <n v="0.791333333333333"/>
    <n v="0.68066666666666598"/>
    <n v="0.709666666666666"/>
    <n v="0.63333333333333297"/>
    <n v="0.68"/>
    <n v="0.755128666666666"/>
    <n v="0.66092333333333297"/>
    <n v="0.65920999961999904"/>
    <n v="0.66429666803666598"/>
    <n v="0.79276499999999905"/>
    <n v="0.77268466666666602"/>
    <n v="10.885999999999999"/>
    <n v="11.202999999999999"/>
    <n v="10.371"/>
    <n v="10.952"/>
    <n v="10.595000000000001"/>
    <n v="11.382"/>
    <n v="11.641"/>
    <n v="12.573"/>
    <n v="12.081"/>
    <n v="12.79"/>
    <n v="11.257"/>
    <n v="11.803000000000001"/>
    <n v="11.102"/>
    <n v="10.715"/>
    <n v="12.742388"/>
    <n v="11.617209999999901"/>
    <n v="10.986262215794"/>
    <n v="11.197157165804001"/>
    <n v="13.30922"/>
    <n v="12.940747999999999"/>
    <n v="251.53700000000001"/>
    <n v="200.12"/>
    <n v="281.23700000000002"/>
    <n v="263.51400000000001"/>
    <n v="308.791"/>
    <n v="609.94500000000005"/>
    <n v="395.74900000000002"/>
    <n v="179.09100000000001"/>
    <n v="214.23099999999999"/>
    <n v="117.752"/>
    <n v="524.20000000000005"/>
    <n v="312.05"/>
    <n v="214.184"/>
    <n v="558.23699999999997"/>
    <n v="406.634072"/>
    <n v="381.47919000000002"/>
    <n v="295.00036536092199"/>
    <n v="298.202447850292"/>
    <n v="423.99309"/>
    <n v="377.58552400000002"/>
    <n v="0.755128666666666"/>
    <n v="12.742388"/>
    <n v="406.634072"/>
  </r>
  <r>
    <x v="2"/>
    <n v="1144854.92"/>
    <x v="25"/>
    <n v="0.60533333333333295"/>
    <n v="0.69433333333333302"/>
    <n v="0.60433333333333294"/>
    <n v="0.667333333333333"/>
    <n v="0.68200000000000005"/>
    <n v="0.65499999999999903"/>
    <n v="0.64066666666666605"/>
    <n v="0.72933333333333294"/>
    <n v="0.68833333333333302"/>
    <n v="0.791333333333333"/>
    <n v="0.68066666666666598"/>
    <n v="0.709666666666666"/>
    <n v="0.63333333333333297"/>
    <n v="0.68"/>
    <n v="0.755128666666666"/>
    <n v="0.66092333333333297"/>
    <n v="0.65920999961999904"/>
    <n v="0.66429666803666598"/>
    <n v="0.79276499999999905"/>
    <n v="0.77268466666666602"/>
    <n v="10.885999999999999"/>
    <n v="11.202999999999999"/>
    <n v="10.371"/>
    <n v="10.952"/>
    <n v="10.595000000000001"/>
    <n v="11.382"/>
    <n v="11.641"/>
    <n v="12.573"/>
    <n v="12.081"/>
    <n v="12.79"/>
    <n v="11.257"/>
    <n v="11.803000000000001"/>
    <n v="11.102"/>
    <n v="10.715"/>
    <n v="12.742388"/>
    <n v="11.617209999999901"/>
    <n v="10.986262215794"/>
    <n v="11.197157165804001"/>
    <n v="13.30922"/>
    <n v="12.940747999999999"/>
    <n v="251.53700000000001"/>
    <n v="200.12"/>
    <n v="281.23700000000002"/>
    <n v="263.51400000000001"/>
    <n v="308.791"/>
    <n v="609.94500000000005"/>
    <n v="395.74900000000002"/>
    <n v="179.09100000000001"/>
    <n v="214.23099999999999"/>
    <n v="117.752"/>
    <n v="524.20000000000005"/>
    <n v="312.05"/>
    <n v="214.184"/>
    <n v="558.23699999999997"/>
    <n v="406.634072"/>
    <n v="381.47919000000002"/>
    <n v="295.00036536092199"/>
    <n v="298.202447850292"/>
    <n v="423.99309"/>
    <n v="377.58552400000002"/>
    <n v="0.65920999961999904"/>
    <n v="10.986262215794"/>
    <n v="295.00036536092199"/>
  </r>
  <r>
    <x v="3"/>
    <n v="1349723.01"/>
    <x v="25"/>
    <n v="0.60533333333333295"/>
    <n v="0.69433333333333302"/>
    <n v="0.60433333333333294"/>
    <n v="0.667333333333333"/>
    <n v="0.68200000000000005"/>
    <n v="0.65499999999999903"/>
    <n v="0.64066666666666605"/>
    <n v="0.72933333333333294"/>
    <n v="0.68833333333333302"/>
    <n v="0.791333333333333"/>
    <n v="0.68066666666666598"/>
    <n v="0.709666666666666"/>
    <n v="0.63333333333333297"/>
    <n v="0.68"/>
    <n v="0.755128666666666"/>
    <n v="0.66092333333333297"/>
    <n v="0.65920999961999904"/>
    <n v="0.66429666803666598"/>
    <n v="0.79276499999999905"/>
    <n v="0.77268466666666602"/>
    <n v="10.885999999999999"/>
    <n v="11.202999999999999"/>
    <n v="10.371"/>
    <n v="10.952"/>
    <n v="10.595000000000001"/>
    <n v="11.382"/>
    <n v="11.641"/>
    <n v="12.573"/>
    <n v="12.081"/>
    <n v="12.79"/>
    <n v="11.257"/>
    <n v="11.803000000000001"/>
    <n v="11.102"/>
    <n v="10.715"/>
    <n v="12.742388"/>
    <n v="11.617209999999901"/>
    <n v="10.986262215794"/>
    <n v="11.197157165804001"/>
    <n v="13.30922"/>
    <n v="12.940747999999999"/>
    <n v="251.53700000000001"/>
    <n v="200.12"/>
    <n v="281.23700000000002"/>
    <n v="263.51400000000001"/>
    <n v="308.791"/>
    <n v="609.94500000000005"/>
    <n v="395.74900000000002"/>
    <n v="179.09100000000001"/>
    <n v="214.23099999999999"/>
    <n v="117.752"/>
    <n v="524.20000000000005"/>
    <n v="312.05"/>
    <n v="214.184"/>
    <n v="558.23699999999997"/>
    <n v="406.634072"/>
    <n v="381.47919000000002"/>
    <n v="295.00036536092199"/>
    <n v="298.202447850292"/>
    <n v="423.99309"/>
    <n v="377.58552400000002"/>
    <n v="0.79276499999999905"/>
    <n v="13.30922"/>
    <n v="423.99309"/>
  </r>
  <r>
    <x v="4"/>
    <n v="377322.86"/>
    <x v="25"/>
    <n v="0.60533333333333295"/>
    <n v="0.69433333333333302"/>
    <n v="0.60433333333333294"/>
    <n v="0.667333333333333"/>
    <n v="0.68200000000000005"/>
    <n v="0.65499999999999903"/>
    <n v="0.64066666666666605"/>
    <n v="0.72933333333333294"/>
    <n v="0.68833333333333302"/>
    <n v="0.791333333333333"/>
    <n v="0.68066666666666598"/>
    <n v="0.709666666666666"/>
    <n v="0.63333333333333297"/>
    <n v="0.68"/>
    <n v="0.755128666666666"/>
    <n v="0.66092333333333297"/>
    <n v="0.65920999961999904"/>
    <n v="0.66429666803666598"/>
    <n v="0.79276499999999905"/>
    <n v="0.77268466666666602"/>
    <n v="10.885999999999999"/>
    <n v="11.202999999999999"/>
    <n v="10.371"/>
    <n v="10.952"/>
    <n v="10.595000000000001"/>
    <n v="11.382"/>
    <n v="11.641"/>
    <n v="12.573"/>
    <n v="12.081"/>
    <n v="12.79"/>
    <n v="11.257"/>
    <n v="11.803000000000001"/>
    <n v="11.102"/>
    <n v="10.715"/>
    <n v="12.742388"/>
    <n v="11.617209999999901"/>
    <n v="10.986262215794"/>
    <n v="11.197157165804001"/>
    <n v="13.30922"/>
    <n v="12.940747999999999"/>
    <n v="251.53700000000001"/>
    <n v="200.12"/>
    <n v="281.23700000000002"/>
    <n v="263.51400000000001"/>
    <n v="308.791"/>
    <n v="609.94500000000005"/>
    <n v="395.74900000000002"/>
    <n v="179.09100000000001"/>
    <n v="214.23099999999999"/>
    <n v="117.752"/>
    <n v="524.20000000000005"/>
    <n v="312.05"/>
    <n v="214.184"/>
    <n v="558.23699999999997"/>
    <n v="406.634072"/>
    <n v="381.47919000000002"/>
    <n v="295.00036536092199"/>
    <n v="298.202447850292"/>
    <n v="423.99309"/>
    <n v="377.58552400000002"/>
    <n v="0.77268466666666602"/>
    <n v="12.940747999999999"/>
    <n v="377.58552400000002"/>
  </r>
  <r>
    <x v="0"/>
    <n v="1677803.56"/>
    <x v="26"/>
    <n v="0.58233333333333304"/>
    <n v="0.63266666666666604"/>
    <n v="0.56999999999999995"/>
    <n v="0.62233333333333296"/>
    <n v="0.58199999999999996"/>
    <n v="0.60599999999999998"/>
    <n v="0.54300000000000004"/>
    <n v="0.60099999999999998"/>
    <n v="0.48"/>
    <n v="0.64466666666666606"/>
    <n v="0.57399999999999995"/>
    <n v="0.51933333333333298"/>
    <n v="0.6"/>
    <n v="0.63700000000000001"/>
    <n v="0.64148533333333302"/>
    <n v="0.54552999999999996"/>
    <n v="0.58499111078333299"/>
    <n v="0.582375715473333"/>
    <n v="0.67874833333333295"/>
    <n v="0.66291533333333297"/>
    <n v="11.959"/>
    <n v="13.067"/>
    <n v="12.28"/>
    <n v="13.47"/>
    <n v="12.228"/>
    <n v="11.771000000000001"/>
    <n v="12.746"/>
    <n v="14.138999999999999"/>
    <n v="12.817"/>
    <n v="13.991"/>
    <n v="13.702999999999999"/>
    <n v="11.872"/>
    <n v="12.808"/>
    <n v="13.289"/>
    <n v="14.418462"/>
    <n v="12.509589999999999"/>
    <n v="12.810418881797"/>
    <n v="12.843207168742"/>
    <n v="15.231705"/>
    <n v="14.739166000000001"/>
    <n v="111.31699999999999"/>
    <n v="213.947"/>
    <n v="192.499"/>
    <n v="341.56"/>
    <n v="327.85399999999998"/>
    <n v="686.11300000000006"/>
    <n v="385.28100000000001"/>
    <n v="143.155"/>
    <n v="206.965"/>
    <n v="106.63500000000001"/>
    <n v="393.27300000000002"/>
    <n v="323.65300000000002"/>
    <n v="146.84699999999901"/>
    <n v="329.64499999999998"/>
    <n v="361.99408799999998"/>
    <n v="385.24351999999999"/>
    <n v="282.85130983992502"/>
    <n v="291.41254772796998"/>
    <n v="345.89476999999999"/>
    <n v="365.744618"/>
    <n v="0.582375715473333"/>
    <n v="12.843207168742"/>
    <n v="291.41254772796998"/>
  </r>
  <r>
    <x v="1"/>
    <n v="754620.83"/>
    <x v="26"/>
    <n v="0.58233333333333304"/>
    <n v="0.63266666666666604"/>
    <n v="0.56999999999999995"/>
    <n v="0.62233333333333296"/>
    <n v="0.58199999999999996"/>
    <n v="0.60599999999999998"/>
    <n v="0.54300000000000004"/>
    <n v="0.60099999999999998"/>
    <n v="0.48"/>
    <n v="0.64466666666666606"/>
    <n v="0.57399999999999995"/>
    <n v="0.51933333333333298"/>
    <n v="0.6"/>
    <n v="0.63700000000000001"/>
    <n v="0.64148533333333302"/>
    <n v="0.54552999999999996"/>
    <n v="0.58499111078333299"/>
    <n v="0.582375715473333"/>
    <n v="0.67874833333333295"/>
    <n v="0.66291533333333297"/>
    <n v="11.959"/>
    <n v="13.067"/>
    <n v="12.28"/>
    <n v="13.47"/>
    <n v="12.228"/>
    <n v="11.771000000000001"/>
    <n v="12.746"/>
    <n v="14.138999999999999"/>
    <n v="12.817"/>
    <n v="13.991"/>
    <n v="13.702999999999999"/>
    <n v="11.872"/>
    <n v="12.808"/>
    <n v="13.289"/>
    <n v="14.418462"/>
    <n v="12.509589999999999"/>
    <n v="12.810418881797"/>
    <n v="12.843207168742"/>
    <n v="15.231705"/>
    <n v="14.739166000000001"/>
    <n v="111.31699999999999"/>
    <n v="213.947"/>
    <n v="192.499"/>
    <n v="341.56"/>
    <n v="327.85399999999998"/>
    <n v="686.11300000000006"/>
    <n v="385.28100000000001"/>
    <n v="143.155"/>
    <n v="206.965"/>
    <n v="106.63500000000001"/>
    <n v="393.27300000000002"/>
    <n v="323.65300000000002"/>
    <n v="146.84699999999901"/>
    <n v="329.64499999999998"/>
    <n v="361.99408799999998"/>
    <n v="385.24351999999999"/>
    <n v="282.85130983992502"/>
    <n v="291.41254772796998"/>
    <n v="345.89476999999999"/>
    <n v="365.744618"/>
    <n v="0.64148533333333302"/>
    <n v="14.418462"/>
    <n v="361.99408799999998"/>
  </r>
  <r>
    <x v="2"/>
    <n v="1039859.75"/>
    <x v="26"/>
    <n v="0.58233333333333304"/>
    <n v="0.63266666666666604"/>
    <n v="0.56999999999999995"/>
    <n v="0.62233333333333296"/>
    <n v="0.58199999999999996"/>
    <n v="0.60599999999999998"/>
    <n v="0.54300000000000004"/>
    <n v="0.60099999999999998"/>
    <n v="0.48"/>
    <n v="0.64466666666666606"/>
    <n v="0.57399999999999995"/>
    <n v="0.51933333333333298"/>
    <n v="0.6"/>
    <n v="0.63700000000000001"/>
    <n v="0.64148533333333302"/>
    <n v="0.54552999999999996"/>
    <n v="0.58499111078333299"/>
    <n v="0.582375715473333"/>
    <n v="0.67874833333333295"/>
    <n v="0.66291533333333297"/>
    <n v="11.959"/>
    <n v="13.067"/>
    <n v="12.28"/>
    <n v="13.47"/>
    <n v="12.228"/>
    <n v="11.771000000000001"/>
    <n v="12.746"/>
    <n v="14.138999999999999"/>
    <n v="12.817"/>
    <n v="13.991"/>
    <n v="13.702999999999999"/>
    <n v="11.872"/>
    <n v="12.808"/>
    <n v="13.289"/>
    <n v="14.418462"/>
    <n v="12.509589999999999"/>
    <n v="12.810418881797"/>
    <n v="12.843207168742"/>
    <n v="15.231705"/>
    <n v="14.739166000000001"/>
    <n v="111.31699999999999"/>
    <n v="213.947"/>
    <n v="192.499"/>
    <n v="341.56"/>
    <n v="327.85399999999998"/>
    <n v="686.11300000000006"/>
    <n v="385.28100000000001"/>
    <n v="143.155"/>
    <n v="206.965"/>
    <n v="106.63500000000001"/>
    <n v="393.27300000000002"/>
    <n v="323.65300000000002"/>
    <n v="146.84699999999901"/>
    <n v="329.64499999999998"/>
    <n v="361.99408799999998"/>
    <n v="385.24351999999999"/>
    <n v="282.85130983992502"/>
    <n v="291.41254772796998"/>
    <n v="345.89476999999999"/>
    <n v="365.744618"/>
    <n v="0.58499111078333299"/>
    <n v="12.810418881797"/>
    <n v="282.85130983992502"/>
  </r>
  <r>
    <x v="3"/>
    <n v="1382119.93"/>
    <x v="26"/>
    <n v="0.58233333333333304"/>
    <n v="0.63266666666666604"/>
    <n v="0.56999999999999995"/>
    <n v="0.62233333333333296"/>
    <n v="0.58199999999999996"/>
    <n v="0.60599999999999998"/>
    <n v="0.54300000000000004"/>
    <n v="0.60099999999999998"/>
    <n v="0.48"/>
    <n v="0.64466666666666606"/>
    <n v="0.57399999999999995"/>
    <n v="0.51933333333333298"/>
    <n v="0.6"/>
    <n v="0.63700000000000001"/>
    <n v="0.64148533333333302"/>
    <n v="0.54552999999999996"/>
    <n v="0.58499111078333299"/>
    <n v="0.582375715473333"/>
    <n v="0.67874833333333295"/>
    <n v="0.66291533333333297"/>
    <n v="11.959"/>
    <n v="13.067"/>
    <n v="12.28"/>
    <n v="13.47"/>
    <n v="12.228"/>
    <n v="11.771000000000001"/>
    <n v="12.746"/>
    <n v="14.138999999999999"/>
    <n v="12.817"/>
    <n v="13.991"/>
    <n v="13.702999999999999"/>
    <n v="11.872"/>
    <n v="12.808"/>
    <n v="13.289"/>
    <n v="14.418462"/>
    <n v="12.509589999999999"/>
    <n v="12.810418881797"/>
    <n v="12.843207168742"/>
    <n v="15.231705"/>
    <n v="14.739166000000001"/>
    <n v="111.31699999999999"/>
    <n v="213.947"/>
    <n v="192.499"/>
    <n v="341.56"/>
    <n v="327.85399999999998"/>
    <n v="686.11300000000006"/>
    <n v="385.28100000000001"/>
    <n v="143.155"/>
    <n v="206.965"/>
    <n v="106.63500000000001"/>
    <n v="393.27300000000002"/>
    <n v="323.65300000000002"/>
    <n v="146.84699999999901"/>
    <n v="329.64499999999998"/>
    <n v="361.99408799999998"/>
    <n v="385.24351999999999"/>
    <n v="282.85130983992502"/>
    <n v="291.41254772796998"/>
    <n v="345.89476999999999"/>
    <n v="365.744618"/>
    <n v="0.67874833333333295"/>
    <n v="15.231705"/>
    <n v="345.89476999999999"/>
  </r>
  <r>
    <x v="4"/>
    <n v="352474.34"/>
    <x v="26"/>
    <n v="0.58233333333333304"/>
    <n v="0.63266666666666604"/>
    <n v="0.56999999999999995"/>
    <n v="0.62233333333333296"/>
    <n v="0.58199999999999996"/>
    <n v="0.60599999999999998"/>
    <n v="0.54300000000000004"/>
    <n v="0.60099999999999998"/>
    <n v="0.48"/>
    <n v="0.64466666666666606"/>
    <n v="0.57399999999999995"/>
    <n v="0.51933333333333298"/>
    <n v="0.6"/>
    <n v="0.63700000000000001"/>
    <n v="0.64148533333333302"/>
    <n v="0.54552999999999996"/>
    <n v="0.58499111078333299"/>
    <n v="0.582375715473333"/>
    <n v="0.67874833333333295"/>
    <n v="0.66291533333333297"/>
    <n v="11.959"/>
    <n v="13.067"/>
    <n v="12.28"/>
    <n v="13.47"/>
    <n v="12.228"/>
    <n v="11.771000000000001"/>
    <n v="12.746"/>
    <n v="14.138999999999999"/>
    <n v="12.817"/>
    <n v="13.991"/>
    <n v="13.702999999999999"/>
    <n v="11.872"/>
    <n v="12.808"/>
    <n v="13.289"/>
    <n v="14.418462"/>
    <n v="12.509589999999999"/>
    <n v="12.810418881797"/>
    <n v="12.843207168742"/>
    <n v="15.231705"/>
    <n v="14.739166000000001"/>
    <n v="111.31699999999999"/>
    <n v="213.947"/>
    <n v="192.499"/>
    <n v="341.56"/>
    <n v="327.85399999999998"/>
    <n v="686.11300000000006"/>
    <n v="385.28100000000001"/>
    <n v="143.155"/>
    <n v="206.965"/>
    <n v="106.63500000000001"/>
    <n v="393.27300000000002"/>
    <n v="323.65300000000002"/>
    <n v="146.84699999999901"/>
    <n v="329.64499999999998"/>
    <n v="361.99408799999998"/>
    <n v="385.24351999999999"/>
    <n v="282.85130983992502"/>
    <n v="291.41254772796998"/>
    <n v="345.89476999999999"/>
    <n v="365.744618"/>
    <n v="0.66291533333333297"/>
    <n v="14.739166000000001"/>
    <n v="365.744618"/>
  </r>
  <r>
    <x v="0"/>
    <n v="1501498"/>
    <x v="27"/>
    <n v="0.57725000000000004"/>
    <n v="0.72224999999999995"/>
    <n v="0.77200000000000002"/>
    <n v="0.747"/>
    <n v="0.82125000000000004"/>
    <n v="0.66674999999999995"/>
    <n v="0.71599999999999997"/>
    <n v="0.60524999999999995"/>
    <n v="0.66249999999999998"/>
    <n v="0.62475000000000003"/>
    <n v="0.79549999999999998"/>
    <n v="0.78949999999999998"/>
    <n v="0.63775000000000004"/>
    <n v="0.76"/>
    <n v="0.84224200000000005"/>
    <n v="0.73481750000000001"/>
    <n v="0.74595694407875002"/>
    <n v="0.73350500137399999"/>
    <n v="0.8262775"/>
    <n v="0.84661350000000002"/>
    <n v="12.606999999999999"/>
    <n v="14.188000000000001"/>
    <n v="14.353999999999999"/>
    <n v="14.180999999999999"/>
    <n v="14.708"/>
    <n v="13.486000000000001"/>
    <n v="13.595000000000001"/>
    <n v="14.352"/>
    <n v="14.766"/>
    <n v="14.297000000000001"/>
    <n v="16.04"/>
    <n v="14.364000000000001"/>
    <n v="13.836"/>
    <n v="15.151"/>
    <n v="16.346847999999898"/>
    <n v="13.84559"/>
    <n v="14.327028881077"/>
    <n v="14.20518574301"/>
    <n v="16.7712"/>
    <n v="16.444602"/>
    <n v="267.54199999999997"/>
    <n v="237.95"/>
    <n v="222.55699999999999"/>
    <n v="305.12400000000002"/>
    <n v="231.65799999999999"/>
    <n v="710.69200000000001"/>
    <n v="387.84"/>
    <n v="143.65699999999899"/>
    <n v="158.62299999999999"/>
    <n v="178.726"/>
    <n v="541.97500000000002"/>
    <n v="357.84199999999998"/>
    <n v="203.55600000000001"/>
    <n v="773.69899999999996"/>
    <n v="408.08299799999998"/>
    <n v="395.55534999999998"/>
    <n v="285.60503421230197"/>
    <n v="292.61914939120197"/>
    <n v="474.30213500000002"/>
    <n v="398.57258200000001"/>
    <n v="0.73350500137399999"/>
    <n v="14.20518574301"/>
    <n v="292.61914939120197"/>
  </r>
  <r>
    <x v="1"/>
    <n v="787750"/>
    <x v="27"/>
    <n v="0.57725000000000004"/>
    <n v="0.72224999999999995"/>
    <n v="0.77200000000000002"/>
    <n v="0.747"/>
    <n v="0.82125000000000004"/>
    <n v="0.66674999999999995"/>
    <n v="0.71599999999999997"/>
    <n v="0.60524999999999995"/>
    <n v="0.66249999999999998"/>
    <n v="0.62475000000000003"/>
    <n v="0.79549999999999998"/>
    <n v="0.78949999999999998"/>
    <n v="0.63775000000000004"/>
    <n v="0.76"/>
    <n v="0.84224200000000005"/>
    <n v="0.73481750000000001"/>
    <n v="0.74595694407875002"/>
    <n v="0.73350500137399999"/>
    <n v="0.8262775"/>
    <n v="0.84661350000000002"/>
    <n v="12.606999999999999"/>
    <n v="14.188000000000001"/>
    <n v="14.353999999999999"/>
    <n v="14.180999999999999"/>
    <n v="14.708"/>
    <n v="13.486000000000001"/>
    <n v="13.595000000000001"/>
    <n v="14.352"/>
    <n v="14.766"/>
    <n v="14.297000000000001"/>
    <n v="16.04"/>
    <n v="14.364000000000001"/>
    <n v="13.836"/>
    <n v="15.151"/>
    <n v="16.346847999999898"/>
    <n v="13.84559"/>
    <n v="14.327028881077"/>
    <n v="14.20518574301"/>
    <n v="16.7712"/>
    <n v="16.444602"/>
    <n v="267.54199999999997"/>
    <n v="237.95"/>
    <n v="222.55699999999999"/>
    <n v="305.12400000000002"/>
    <n v="231.65799999999999"/>
    <n v="710.69200000000001"/>
    <n v="387.84"/>
    <n v="143.65699999999899"/>
    <n v="158.62299999999999"/>
    <n v="178.726"/>
    <n v="541.97500000000002"/>
    <n v="357.84199999999998"/>
    <n v="203.55600000000001"/>
    <n v="773.69899999999996"/>
    <n v="408.08299799999998"/>
    <n v="395.55534999999998"/>
    <n v="285.60503421230197"/>
    <n v="292.61914939120197"/>
    <n v="474.30213500000002"/>
    <n v="398.57258200000001"/>
    <n v="0.84224200000000005"/>
    <n v="16.346847999999898"/>
    <n v="408.08299799999998"/>
  </r>
  <r>
    <x v="2"/>
    <n v="1097033"/>
    <x v="27"/>
    <n v="0.57725000000000004"/>
    <n v="0.72224999999999995"/>
    <n v="0.77200000000000002"/>
    <n v="0.747"/>
    <n v="0.82125000000000004"/>
    <n v="0.66674999999999995"/>
    <n v="0.71599999999999997"/>
    <n v="0.60524999999999995"/>
    <n v="0.66249999999999998"/>
    <n v="0.62475000000000003"/>
    <n v="0.79549999999999998"/>
    <n v="0.78949999999999998"/>
    <n v="0.63775000000000004"/>
    <n v="0.76"/>
    <n v="0.84224200000000005"/>
    <n v="0.73481750000000001"/>
    <n v="0.74595694407875002"/>
    <n v="0.73350500137399999"/>
    <n v="0.8262775"/>
    <n v="0.84661350000000002"/>
    <n v="12.606999999999999"/>
    <n v="14.188000000000001"/>
    <n v="14.353999999999999"/>
    <n v="14.180999999999999"/>
    <n v="14.708"/>
    <n v="13.486000000000001"/>
    <n v="13.595000000000001"/>
    <n v="14.352"/>
    <n v="14.766"/>
    <n v="14.297000000000001"/>
    <n v="16.04"/>
    <n v="14.364000000000001"/>
    <n v="13.836"/>
    <n v="15.151"/>
    <n v="16.346847999999898"/>
    <n v="13.84559"/>
    <n v="14.327028881077"/>
    <n v="14.20518574301"/>
    <n v="16.7712"/>
    <n v="16.444602"/>
    <n v="267.54199999999997"/>
    <n v="237.95"/>
    <n v="222.55699999999999"/>
    <n v="305.12400000000002"/>
    <n v="231.65799999999999"/>
    <n v="710.69200000000001"/>
    <n v="387.84"/>
    <n v="143.65699999999899"/>
    <n v="158.62299999999999"/>
    <n v="178.726"/>
    <n v="541.97500000000002"/>
    <n v="357.84199999999998"/>
    <n v="203.55600000000001"/>
    <n v="773.69899999999996"/>
    <n v="408.08299799999998"/>
    <n v="395.55534999999998"/>
    <n v="285.60503421230197"/>
    <n v="292.61914939120197"/>
    <n v="474.30213500000002"/>
    <n v="398.57258200000001"/>
    <n v="0.74595694407875002"/>
    <n v="14.327028881077"/>
    <n v="285.60503421230197"/>
  </r>
  <r>
    <x v="3"/>
    <n v="1409120"/>
    <x v="27"/>
    <n v="0.57725000000000004"/>
    <n v="0.72224999999999995"/>
    <n v="0.77200000000000002"/>
    <n v="0.747"/>
    <n v="0.82125000000000004"/>
    <n v="0.66674999999999995"/>
    <n v="0.71599999999999997"/>
    <n v="0.60524999999999995"/>
    <n v="0.66249999999999998"/>
    <n v="0.62475000000000003"/>
    <n v="0.79549999999999998"/>
    <n v="0.78949999999999998"/>
    <n v="0.63775000000000004"/>
    <n v="0.76"/>
    <n v="0.84224200000000005"/>
    <n v="0.73481750000000001"/>
    <n v="0.74595694407875002"/>
    <n v="0.73350500137399999"/>
    <n v="0.8262775"/>
    <n v="0.84661350000000002"/>
    <n v="12.606999999999999"/>
    <n v="14.188000000000001"/>
    <n v="14.353999999999999"/>
    <n v="14.180999999999999"/>
    <n v="14.708"/>
    <n v="13.486000000000001"/>
    <n v="13.595000000000001"/>
    <n v="14.352"/>
    <n v="14.766"/>
    <n v="14.297000000000001"/>
    <n v="16.04"/>
    <n v="14.364000000000001"/>
    <n v="13.836"/>
    <n v="15.151"/>
    <n v="16.346847999999898"/>
    <n v="13.84559"/>
    <n v="14.327028881077"/>
    <n v="14.20518574301"/>
    <n v="16.7712"/>
    <n v="16.444602"/>
    <n v="267.54199999999997"/>
    <n v="237.95"/>
    <n v="222.55699999999999"/>
    <n v="305.12400000000002"/>
    <n v="231.65799999999999"/>
    <n v="710.69200000000001"/>
    <n v="387.84"/>
    <n v="143.65699999999899"/>
    <n v="158.62299999999999"/>
    <n v="178.726"/>
    <n v="541.97500000000002"/>
    <n v="357.84199999999998"/>
    <n v="203.55600000000001"/>
    <n v="773.69899999999996"/>
    <n v="408.08299799999998"/>
    <n v="395.55534999999998"/>
    <n v="285.60503421230197"/>
    <n v="292.61914939120197"/>
    <n v="474.30213500000002"/>
    <n v="398.57258200000001"/>
    <n v="0.8262775"/>
    <n v="16.7712"/>
    <n v="474.30213500000002"/>
  </r>
  <r>
    <x v="4"/>
    <n v="363164"/>
    <x v="27"/>
    <n v="0.57725000000000004"/>
    <n v="0.72224999999999995"/>
    <n v="0.77200000000000002"/>
    <n v="0.747"/>
    <n v="0.82125000000000004"/>
    <n v="0.66674999999999995"/>
    <n v="0.71599999999999997"/>
    <n v="0.60524999999999995"/>
    <n v="0.66249999999999998"/>
    <n v="0.62475000000000003"/>
    <n v="0.79549999999999998"/>
    <n v="0.78949999999999998"/>
    <n v="0.63775000000000004"/>
    <n v="0.76"/>
    <n v="0.84224200000000005"/>
    <n v="0.73481750000000001"/>
    <n v="0.74595694407875002"/>
    <n v="0.73350500137399999"/>
    <n v="0.8262775"/>
    <n v="0.84661350000000002"/>
    <n v="12.606999999999999"/>
    <n v="14.188000000000001"/>
    <n v="14.353999999999999"/>
    <n v="14.180999999999999"/>
    <n v="14.708"/>
    <n v="13.486000000000001"/>
    <n v="13.595000000000001"/>
    <n v="14.352"/>
    <n v="14.766"/>
    <n v="14.297000000000001"/>
    <n v="16.04"/>
    <n v="14.364000000000001"/>
    <n v="13.836"/>
    <n v="15.151"/>
    <n v="16.346847999999898"/>
    <n v="13.84559"/>
    <n v="14.327028881077"/>
    <n v="14.20518574301"/>
    <n v="16.7712"/>
    <n v="16.444602"/>
    <n v="267.54199999999997"/>
    <n v="237.95"/>
    <n v="222.55699999999999"/>
    <n v="305.12400000000002"/>
    <n v="231.65799999999999"/>
    <n v="710.69200000000001"/>
    <n v="387.84"/>
    <n v="143.65699999999899"/>
    <n v="158.62299999999999"/>
    <n v="178.726"/>
    <n v="541.97500000000002"/>
    <n v="357.84199999999998"/>
    <n v="203.55600000000001"/>
    <n v="773.69899999999996"/>
    <n v="408.08299799999998"/>
    <n v="395.55534999999998"/>
    <n v="285.60503421230197"/>
    <n v="292.61914939120197"/>
    <n v="474.30213500000002"/>
    <n v="398.57258200000001"/>
    <n v="0.84661350000000002"/>
    <n v="16.444602"/>
    <n v="398.57258200000001"/>
  </r>
  <r>
    <x v="0"/>
    <n v="1728000"/>
    <x v="28"/>
    <n v="0.59"/>
    <n v="0.69799999999999995"/>
    <n v="0.66033333333333299"/>
    <n v="0.582666666666666"/>
    <n v="0.66400000000000003"/>
    <n v="0.73033333333333295"/>
    <n v="0.64366666666666605"/>
    <n v="0.77166666666666595"/>
    <n v="0.77966666666666595"/>
    <n v="0.80833333333333302"/>
    <n v="0.72466666666666602"/>
    <n v="0.65200000000000002"/>
    <n v="0.69333333333333302"/>
    <n v="0.71733333333333305"/>
    <n v="0.76757599999999904"/>
    <n v="0.64891333333333301"/>
    <n v="0.65463851811566598"/>
    <n v="0.65829095382333302"/>
    <n v="0.81811333333333303"/>
    <n v="0.75829400000000002"/>
    <n v="12.081"/>
    <n v="13.801"/>
    <n v="12.959"/>
    <n v="13.728"/>
    <n v="13.113"/>
    <n v="12.477"/>
    <n v="13.294"/>
    <n v="13.43"/>
    <n v="14.898"/>
    <n v="13.715"/>
    <n v="15.589"/>
    <n v="13.2"/>
    <n v="13.315"/>
    <n v="14.824999999999999"/>
    <n v="15.48687"/>
    <n v="13.26432"/>
    <n v="13.469101103556"/>
    <n v="13.392561456396001"/>
    <n v="16.200980000000001"/>
    <n v="15.650416"/>
    <n v="84.888999999999996"/>
    <n v="141.24700000000001"/>
    <n v="169.77799999999999"/>
    <n v="184.89500000000001"/>
    <n v="187.37"/>
    <n v="488.88099999999997"/>
    <n v="301.35300000000001"/>
    <n v="123.20699999999999"/>
    <n v="180.21600000000001"/>
    <n v="134.441"/>
    <n v="292.40499999999997"/>
    <n v="248.39500000000001"/>
    <n v="123.378"/>
    <n v="292.89600000000002"/>
    <n v="269.10771999999997"/>
    <n v="292.31297000000001"/>
    <n v="192.699890979853"/>
    <n v="203.34239903285001"/>
    <n v="279.21334000000002"/>
    <n v="256.72773799999999"/>
    <n v="0.65829095382333302"/>
    <n v="13.392561456396001"/>
    <n v="203.34239903285001"/>
  </r>
  <r>
    <x v="1"/>
    <n v="929000"/>
    <x v="28"/>
    <n v="0.59"/>
    <n v="0.69799999999999995"/>
    <n v="0.66033333333333299"/>
    <n v="0.582666666666666"/>
    <n v="0.66400000000000003"/>
    <n v="0.73033333333333295"/>
    <n v="0.64366666666666605"/>
    <n v="0.77166666666666595"/>
    <n v="0.77966666666666595"/>
    <n v="0.80833333333333302"/>
    <n v="0.72466666666666602"/>
    <n v="0.65200000000000002"/>
    <n v="0.69333333333333302"/>
    <n v="0.71733333333333305"/>
    <n v="0.76757599999999904"/>
    <n v="0.64891333333333301"/>
    <n v="0.65463851811566598"/>
    <n v="0.65829095382333302"/>
    <n v="0.81811333333333303"/>
    <n v="0.75829400000000002"/>
    <n v="12.081"/>
    <n v="13.801"/>
    <n v="12.959"/>
    <n v="13.728"/>
    <n v="13.113"/>
    <n v="12.477"/>
    <n v="13.294"/>
    <n v="13.43"/>
    <n v="14.898"/>
    <n v="13.715"/>
    <n v="15.589"/>
    <n v="13.2"/>
    <n v="13.315"/>
    <n v="14.824999999999999"/>
    <n v="15.48687"/>
    <n v="13.26432"/>
    <n v="13.469101103556"/>
    <n v="13.392561456396001"/>
    <n v="16.200980000000001"/>
    <n v="15.650416"/>
    <n v="84.888999999999996"/>
    <n v="141.24700000000001"/>
    <n v="169.77799999999999"/>
    <n v="184.89500000000001"/>
    <n v="187.37"/>
    <n v="488.88099999999997"/>
    <n v="301.35300000000001"/>
    <n v="123.20699999999999"/>
    <n v="180.21600000000001"/>
    <n v="134.441"/>
    <n v="292.40499999999997"/>
    <n v="248.39500000000001"/>
    <n v="123.378"/>
    <n v="292.89600000000002"/>
    <n v="269.10771999999997"/>
    <n v="292.31297000000001"/>
    <n v="192.699890979853"/>
    <n v="203.34239903285001"/>
    <n v="279.21334000000002"/>
    <n v="256.72773799999999"/>
    <n v="0.76757599999999904"/>
    <n v="15.48687"/>
    <n v="269.10771999999997"/>
  </r>
  <r>
    <x v="2"/>
    <n v="1353000"/>
    <x v="28"/>
    <n v="0.59"/>
    <n v="0.69799999999999995"/>
    <n v="0.66033333333333299"/>
    <n v="0.582666666666666"/>
    <n v="0.66400000000000003"/>
    <n v="0.73033333333333295"/>
    <n v="0.64366666666666605"/>
    <n v="0.77166666666666595"/>
    <n v="0.77966666666666595"/>
    <n v="0.80833333333333302"/>
    <n v="0.72466666666666602"/>
    <n v="0.65200000000000002"/>
    <n v="0.69333333333333302"/>
    <n v="0.71733333333333305"/>
    <n v="0.76757599999999904"/>
    <n v="0.64891333333333301"/>
    <n v="0.65463851811566598"/>
    <n v="0.65829095382333302"/>
    <n v="0.81811333333333303"/>
    <n v="0.75829400000000002"/>
    <n v="12.081"/>
    <n v="13.801"/>
    <n v="12.959"/>
    <n v="13.728"/>
    <n v="13.113"/>
    <n v="12.477"/>
    <n v="13.294"/>
    <n v="13.43"/>
    <n v="14.898"/>
    <n v="13.715"/>
    <n v="15.589"/>
    <n v="13.2"/>
    <n v="13.315"/>
    <n v="14.824999999999999"/>
    <n v="15.48687"/>
    <n v="13.26432"/>
    <n v="13.469101103556"/>
    <n v="13.392561456396001"/>
    <n v="16.200980000000001"/>
    <n v="15.650416"/>
    <n v="84.888999999999996"/>
    <n v="141.24700000000001"/>
    <n v="169.77799999999999"/>
    <n v="184.89500000000001"/>
    <n v="187.37"/>
    <n v="488.88099999999997"/>
    <n v="301.35300000000001"/>
    <n v="123.20699999999999"/>
    <n v="180.21600000000001"/>
    <n v="134.441"/>
    <n v="292.40499999999997"/>
    <n v="248.39500000000001"/>
    <n v="123.378"/>
    <n v="292.89600000000002"/>
    <n v="269.10771999999997"/>
    <n v="292.31297000000001"/>
    <n v="192.699890979853"/>
    <n v="203.34239903285001"/>
    <n v="279.21334000000002"/>
    <n v="256.72773799999999"/>
    <n v="0.65463851811566598"/>
    <n v="13.469101103556"/>
    <n v="192.699890979853"/>
  </r>
  <r>
    <x v="3"/>
    <n v="1521000"/>
    <x v="28"/>
    <n v="0.59"/>
    <n v="0.69799999999999995"/>
    <n v="0.66033333333333299"/>
    <n v="0.582666666666666"/>
    <n v="0.66400000000000003"/>
    <n v="0.73033333333333295"/>
    <n v="0.64366666666666605"/>
    <n v="0.77166666666666595"/>
    <n v="0.77966666666666595"/>
    <n v="0.80833333333333302"/>
    <n v="0.72466666666666602"/>
    <n v="0.65200000000000002"/>
    <n v="0.69333333333333302"/>
    <n v="0.71733333333333305"/>
    <n v="0.76757599999999904"/>
    <n v="0.64891333333333301"/>
    <n v="0.65463851811566598"/>
    <n v="0.65829095382333302"/>
    <n v="0.81811333333333303"/>
    <n v="0.75829400000000002"/>
    <n v="12.081"/>
    <n v="13.801"/>
    <n v="12.959"/>
    <n v="13.728"/>
    <n v="13.113"/>
    <n v="12.477"/>
    <n v="13.294"/>
    <n v="13.43"/>
    <n v="14.898"/>
    <n v="13.715"/>
    <n v="15.589"/>
    <n v="13.2"/>
    <n v="13.315"/>
    <n v="14.824999999999999"/>
    <n v="15.48687"/>
    <n v="13.26432"/>
    <n v="13.469101103556"/>
    <n v="13.392561456396001"/>
    <n v="16.200980000000001"/>
    <n v="15.650416"/>
    <n v="84.888999999999996"/>
    <n v="141.24700000000001"/>
    <n v="169.77799999999999"/>
    <n v="184.89500000000001"/>
    <n v="187.37"/>
    <n v="488.88099999999997"/>
    <n v="301.35300000000001"/>
    <n v="123.20699999999999"/>
    <n v="180.21600000000001"/>
    <n v="134.441"/>
    <n v="292.40499999999997"/>
    <n v="248.39500000000001"/>
    <n v="123.378"/>
    <n v="292.89600000000002"/>
    <n v="269.10771999999997"/>
    <n v="292.31297000000001"/>
    <n v="192.699890979853"/>
    <n v="203.34239903285001"/>
    <n v="279.21334000000002"/>
    <n v="256.72773799999999"/>
    <n v="0.81811333333333303"/>
    <n v="16.200980000000001"/>
    <n v="279.21334000000002"/>
  </r>
  <r>
    <x v="4"/>
    <n v="445000"/>
    <x v="28"/>
    <n v="0.59"/>
    <n v="0.69799999999999995"/>
    <n v="0.66033333333333299"/>
    <n v="0.582666666666666"/>
    <n v="0.66400000000000003"/>
    <n v="0.73033333333333295"/>
    <n v="0.64366666666666605"/>
    <n v="0.77166666666666595"/>
    <n v="0.77966666666666595"/>
    <n v="0.80833333333333302"/>
    <n v="0.72466666666666602"/>
    <n v="0.65200000000000002"/>
    <n v="0.69333333333333302"/>
    <n v="0.71733333333333305"/>
    <n v="0.76757599999999904"/>
    <n v="0.64891333333333301"/>
    <n v="0.65463851811566598"/>
    <n v="0.65829095382333302"/>
    <n v="0.81811333333333303"/>
    <n v="0.75829400000000002"/>
    <n v="12.081"/>
    <n v="13.801"/>
    <n v="12.959"/>
    <n v="13.728"/>
    <n v="13.113"/>
    <n v="12.477"/>
    <n v="13.294"/>
    <n v="13.43"/>
    <n v="14.898"/>
    <n v="13.715"/>
    <n v="15.589"/>
    <n v="13.2"/>
    <n v="13.315"/>
    <n v="14.824999999999999"/>
    <n v="15.48687"/>
    <n v="13.26432"/>
    <n v="13.469101103556"/>
    <n v="13.392561456396001"/>
    <n v="16.200980000000001"/>
    <n v="15.650416"/>
    <n v="84.888999999999996"/>
    <n v="141.24700000000001"/>
    <n v="169.77799999999999"/>
    <n v="184.89500000000001"/>
    <n v="187.37"/>
    <n v="488.88099999999997"/>
    <n v="301.35300000000001"/>
    <n v="123.20699999999999"/>
    <n v="180.21600000000001"/>
    <n v="134.441"/>
    <n v="292.40499999999997"/>
    <n v="248.39500000000001"/>
    <n v="123.378"/>
    <n v="292.89600000000002"/>
    <n v="269.10771999999997"/>
    <n v="292.31297000000001"/>
    <n v="192.699890979853"/>
    <n v="203.34239903285001"/>
    <n v="279.21334000000002"/>
    <n v="256.72773799999999"/>
    <n v="0.75829400000000002"/>
    <n v="15.650416"/>
    <n v="256.727737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33140-260B-482B-B34C-3E953374E2D4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E32" firstHeaderRow="0" firstDataRow="1" firstDataCol="1" rowPageCount="1" colPageCount="1"/>
  <pivotFields count="66">
    <pivotField axis="axisPage" showAll="0">
      <items count="6">
        <item x="1"/>
        <item x="2"/>
        <item x="0"/>
        <item x="3"/>
        <item x="4"/>
        <item t="default"/>
      </items>
    </pivotField>
    <pivotField dataField="1" showAll="0"/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item="3" hier="-1"/>
  </pageFields>
  <dataFields count="4">
    <dataField name="Sum of VHI" fld="63" baseField="0" baseItem="0"/>
    <dataField name="Sum of Cum_VHI" fld="64" baseField="0" baseItem="0"/>
    <dataField name="Sum of Cum_Rainfall" fld="65" baseField="0" baseItem="0"/>
    <dataField name="Sum of Production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3C6F-B1C9-42CA-9C08-DB4202A33FA4}">
  <dimension ref="A1:E32"/>
  <sheetViews>
    <sheetView workbookViewId="0">
      <selection activeCell="G6" sqref="G6"/>
    </sheetView>
  </sheetViews>
  <sheetFormatPr defaultRowHeight="14.5" x14ac:dyDescent="0.35"/>
  <cols>
    <col min="1" max="1" width="12.453125" bestFit="1" customWidth="1"/>
    <col min="2" max="2" width="11.81640625" bestFit="1" customWidth="1"/>
    <col min="3" max="3" width="14.81640625" bestFit="1" customWidth="1"/>
    <col min="4" max="4" width="18.54296875" bestFit="1" customWidth="1"/>
    <col min="5" max="5" width="16.26953125" bestFit="1" customWidth="1"/>
  </cols>
  <sheetData>
    <row r="1" spans="1:5" x14ac:dyDescent="0.35">
      <c r="A1" s="3" t="s">
        <v>0</v>
      </c>
      <c r="B1" t="s">
        <v>66</v>
      </c>
    </row>
    <row r="3" spans="1:5" x14ac:dyDescent="0.35">
      <c r="A3" s="3" t="s">
        <v>74</v>
      </c>
      <c r="B3" t="s">
        <v>73</v>
      </c>
      <c r="C3" t="s">
        <v>72</v>
      </c>
      <c r="D3" t="s">
        <v>71</v>
      </c>
      <c r="E3" t="s">
        <v>75</v>
      </c>
    </row>
    <row r="4" spans="1:5" x14ac:dyDescent="0.35">
      <c r="A4" s="4">
        <v>1995</v>
      </c>
      <c r="B4">
        <v>0.72702999999999995</v>
      </c>
      <c r="C4">
        <v>13.329575</v>
      </c>
      <c r="D4">
        <v>153.93096499999999</v>
      </c>
      <c r="E4">
        <v>155152</v>
      </c>
    </row>
    <row r="5" spans="1:5" x14ac:dyDescent="0.35">
      <c r="A5" s="4">
        <v>1996</v>
      </c>
      <c r="B5">
        <v>0.61934500000000003</v>
      </c>
      <c r="C5">
        <v>10.010425</v>
      </c>
      <c r="D5">
        <v>228.66630499999999</v>
      </c>
      <c r="E5">
        <v>148780</v>
      </c>
    </row>
    <row r="6" spans="1:5" x14ac:dyDescent="0.35">
      <c r="A6" s="4">
        <v>1997</v>
      </c>
      <c r="B6">
        <v>0.57016166666666601</v>
      </c>
      <c r="C6">
        <v>12.548254999999999</v>
      </c>
      <c r="D6">
        <v>299.26623499999999</v>
      </c>
      <c r="E6">
        <v>173702</v>
      </c>
    </row>
    <row r="7" spans="1:5" x14ac:dyDescent="0.35">
      <c r="A7" s="4">
        <v>1998</v>
      </c>
      <c r="B7">
        <v>0.71102999999999905</v>
      </c>
      <c r="C7">
        <v>11.591044999999999</v>
      </c>
      <c r="D7">
        <v>184.80901499999999</v>
      </c>
      <c r="E7">
        <v>123519</v>
      </c>
    </row>
    <row r="8" spans="1:5" x14ac:dyDescent="0.35">
      <c r="A8" s="4">
        <v>1999</v>
      </c>
      <c r="B8">
        <v>0.86521333333333295</v>
      </c>
      <c r="C8">
        <v>15.369590000000001</v>
      </c>
      <c r="D8">
        <v>291.49660499999999</v>
      </c>
      <c r="E8">
        <v>364000</v>
      </c>
    </row>
    <row r="9" spans="1:5" x14ac:dyDescent="0.35">
      <c r="A9" s="4">
        <v>2000</v>
      </c>
      <c r="B9">
        <v>0.549688333333333</v>
      </c>
      <c r="C9">
        <v>14.331725</v>
      </c>
      <c r="D9">
        <v>191.74173999999999</v>
      </c>
      <c r="E9">
        <v>202293</v>
      </c>
    </row>
    <row r="10" spans="1:5" x14ac:dyDescent="0.35">
      <c r="A10" s="4">
        <v>2001</v>
      </c>
      <c r="B10">
        <v>0.60327166666666598</v>
      </c>
      <c r="C10">
        <v>12.43591</v>
      </c>
      <c r="D10">
        <v>212.47529</v>
      </c>
      <c r="E10">
        <v>206989</v>
      </c>
    </row>
    <row r="11" spans="1:5" x14ac:dyDescent="0.35">
      <c r="A11" s="4">
        <v>2002</v>
      </c>
      <c r="B11">
        <v>0.31985333333333299</v>
      </c>
      <c r="C11">
        <v>9.8503349999999994</v>
      </c>
      <c r="D11">
        <v>154.54413499999899</v>
      </c>
      <c r="E11">
        <v>172395</v>
      </c>
    </row>
    <row r="12" spans="1:5" x14ac:dyDescent="0.35">
      <c r="A12" s="4">
        <v>2003</v>
      </c>
      <c r="B12">
        <v>0.52756666666666596</v>
      </c>
      <c r="C12">
        <v>10.40757</v>
      </c>
      <c r="D12">
        <v>219.70230000000001</v>
      </c>
      <c r="E12">
        <v>231805</v>
      </c>
    </row>
    <row r="13" spans="1:5" x14ac:dyDescent="0.35">
      <c r="A13" s="4">
        <v>2004</v>
      </c>
      <c r="B13">
        <v>0.55339333333333296</v>
      </c>
      <c r="C13">
        <v>13.998585</v>
      </c>
      <c r="D13">
        <v>277.65585499999997</v>
      </c>
      <c r="E13">
        <v>201744</v>
      </c>
    </row>
    <row r="14" spans="1:5" x14ac:dyDescent="0.35">
      <c r="A14" s="4">
        <v>2005</v>
      </c>
      <c r="B14">
        <v>0.65963333333333296</v>
      </c>
      <c r="C14">
        <v>13.806765</v>
      </c>
      <c r="D14">
        <v>371.26574499999998</v>
      </c>
      <c r="E14">
        <v>279080</v>
      </c>
    </row>
    <row r="15" spans="1:5" x14ac:dyDescent="0.35">
      <c r="A15" s="4">
        <v>2006</v>
      </c>
      <c r="B15">
        <v>0.54903166666666603</v>
      </c>
      <c r="C15">
        <v>13.695885000000001</v>
      </c>
      <c r="D15">
        <v>256.05957000000001</v>
      </c>
      <c r="E15">
        <v>190493</v>
      </c>
    </row>
    <row r="16" spans="1:5" x14ac:dyDescent="0.35">
      <c r="A16" s="4">
        <v>2007</v>
      </c>
      <c r="B16">
        <v>0.45209666666666598</v>
      </c>
      <c r="C16">
        <v>10.02717</v>
      </c>
      <c r="D16">
        <v>181.593435</v>
      </c>
      <c r="E16">
        <v>193379</v>
      </c>
    </row>
    <row r="17" spans="1:5" x14ac:dyDescent="0.35">
      <c r="A17" s="4">
        <v>2008</v>
      </c>
      <c r="B17">
        <v>0.86824666666666594</v>
      </c>
      <c r="C17">
        <v>14.17343</v>
      </c>
      <c r="D17">
        <v>412.05978499999901</v>
      </c>
      <c r="E17">
        <v>408219</v>
      </c>
    </row>
    <row r="18" spans="1:5" x14ac:dyDescent="0.35">
      <c r="A18" s="4">
        <v>2009</v>
      </c>
      <c r="B18">
        <v>0.74516000000000004</v>
      </c>
      <c r="C18">
        <v>15.52603</v>
      </c>
      <c r="D18">
        <v>260.21795500000002</v>
      </c>
      <c r="E18">
        <v>502104</v>
      </c>
    </row>
    <row r="19" spans="1:5" x14ac:dyDescent="0.35">
      <c r="A19" s="4">
        <v>2010</v>
      </c>
      <c r="B19">
        <v>0.81715833333333299</v>
      </c>
      <c r="C19">
        <v>15.110514999999999</v>
      </c>
      <c r="D19">
        <v>279.15816000000001</v>
      </c>
      <c r="E19">
        <v>604043.30000000005</v>
      </c>
    </row>
    <row r="20" spans="1:5" x14ac:dyDescent="0.35">
      <c r="A20" s="4">
        <v>2011</v>
      </c>
      <c r="B20">
        <v>0.64337333333333302</v>
      </c>
      <c r="C20">
        <v>15.717644999999999</v>
      </c>
      <c r="D20">
        <v>187.78010499999999</v>
      </c>
      <c r="E20">
        <v>405824</v>
      </c>
    </row>
    <row r="21" spans="1:5" x14ac:dyDescent="0.35">
      <c r="A21" s="4">
        <v>2012</v>
      </c>
      <c r="B21">
        <v>0.685771666666666</v>
      </c>
      <c r="C21">
        <v>14.073815</v>
      </c>
      <c r="D21">
        <v>290.41948000000002</v>
      </c>
      <c r="E21">
        <v>469649</v>
      </c>
    </row>
    <row r="22" spans="1:5" x14ac:dyDescent="0.35">
      <c r="A22" s="4">
        <v>2013</v>
      </c>
      <c r="B22">
        <v>0.706108333333333</v>
      </c>
      <c r="C22">
        <v>15.195905</v>
      </c>
      <c r="D22">
        <v>201.11938499999999</v>
      </c>
      <c r="E22">
        <v>436153</v>
      </c>
    </row>
    <row r="23" spans="1:5" x14ac:dyDescent="0.35">
      <c r="A23" s="4">
        <v>2014</v>
      </c>
      <c r="B23">
        <v>0.60194999999999999</v>
      </c>
      <c r="C23">
        <v>14.20538</v>
      </c>
      <c r="D23">
        <v>155.26899999999901</v>
      </c>
      <c r="E23">
        <v>559021</v>
      </c>
    </row>
    <row r="24" spans="1:5" x14ac:dyDescent="0.35">
      <c r="A24" s="4">
        <v>2015</v>
      </c>
      <c r="B24">
        <v>0.55791500000000005</v>
      </c>
      <c r="C24">
        <v>12.80172</v>
      </c>
      <c r="D24">
        <v>229.33441999999999</v>
      </c>
      <c r="E24">
        <v>906348</v>
      </c>
    </row>
    <row r="25" spans="1:5" x14ac:dyDescent="0.35">
      <c r="A25" s="4">
        <v>2016</v>
      </c>
      <c r="B25">
        <v>0.69301500000000005</v>
      </c>
      <c r="C25">
        <v>14.860655</v>
      </c>
      <c r="D25">
        <v>259.19231500000001</v>
      </c>
      <c r="E25">
        <v>950779</v>
      </c>
    </row>
    <row r="26" spans="1:5" x14ac:dyDescent="0.35">
      <c r="A26" s="4">
        <v>2017</v>
      </c>
      <c r="B26">
        <v>0.77094333333333298</v>
      </c>
      <c r="C26">
        <v>15.365489999999999</v>
      </c>
      <c r="D26">
        <v>311.30731500000002</v>
      </c>
      <c r="E26">
        <v>1011269</v>
      </c>
    </row>
    <row r="27" spans="1:5" x14ac:dyDescent="0.35">
      <c r="A27" s="4">
        <v>2018</v>
      </c>
      <c r="B27">
        <v>0.69455500000000003</v>
      </c>
      <c r="C27">
        <v>14.143795000000001</v>
      </c>
      <c r="D27">
        <v>234.735345</v>
      </c>
      <c r="E27">
        <v>1206587.27</v>
      </c>
    </row>
    <row r="28" spans="1:5" x14ac:dyDescent="0.35">
      <c r="A28" s="4">
        <v>2019</v>
      </c>
      <c r="B28">
        <v>0.52908166666666601</v>
      </c>
      <c r="C28">
        <v>13.472099999999999</v>
      </c>
      <c r="D28">
        <v>163.57874000000001</v>
      </c>
      <c r="E28">
        <v>1155730.28</v>
      </c>
    </row>
    <row r="29" spans="1:5" x14ac:dyDescent="0.35">
      <c r="A29" s="4">
        <v>2020</v>
      </c>
      <c r="B29">
        <v>0.79276499999999905</v>
      </c>
      <c r="C29">
        <v>13.30922</v>
      </c>
      <c r="D29">
        <v>423.99309</v>
      </c>
      <c r="E29">
        <v>1349723.01</v>
      </c>
    </row>
    <row r="30" spans="1:5" x14ac:dyDescent="0.35">
      <c r="A30" s="4">
        <v>2021</v>
      </c>
      <c r="B30">
        <v>0.67874833333333295</v>
      </c>
      <c r="C30">
        <v>15.231705</v>
      </c>
      <c r="D30">
        <v>345.89476999999999</v>
      </c>
      <c r="E30">
        <v>1382119.93</v>
      </c>
    </row>
    <row r="31" spans="1:5" x14ac:dyDescent="0.35">
      <c r="A31" s="4">
        <v>2022</v>
      </c>
      <c r="B31">
        <v>0.8262775</v>
      </c>
      <c r="C31">
        <v>16.7712</v>
      </c>
      <c r="D31">
        <v>474.30213500000002</v>
      </c>
      <c r="E31">
        <v>1409120</v>
      </c>
    </row>
    <row r="32" spans="1:5" x14ac:dyDescent="0.35">
      <c r="A32" s="4">
        <v>2023</v>
      </c>
      <c r="B32">
        <v>0.81811333333333303</v>
      </c>
      <c r="C32">
        <v>16.200980000000001</v>
      </c>
      <c r="D32">
        <v>279.21334000000002</v>
      </c>
      <c r="E32">
        <v>1521000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7B5D-D61B-44D0-8285-0C9BBE9ED92B}">
  <dimension ref="A1:L30"/>
  <sheetViews>
    <sheetView topLeftCell="A4" workbookViewId="0">
      <selection activeCell="G17" sqref="G17"/>
    </sheetView>
  </sheetViews>
  <sheetFormatPr defaultRowHeight="14.5" x14ac:dyDescent="0.35"/>
  <cols>
    <col min="2" max="4" width="8.81640625" style="10" bestFit="1" customWidth="1"/>
    <col min="5" max="5" width="10.36328125" style="11" customWidth="1"/>
    <col min="10" max="10" width="10.36328125" style="11" bestFit="1" customWidth="1"/>
    <col min="11" max="11" width="10" style="11" bestFit="1" customWidth="1"/>
  </cols>
  <sheetData>
    <row r="1" spans="1:12" x14ac:dyDescent="0.35">
      <c r="A1" t="s">
        <v>2</v>
      </c>
      <c r="B1" s="10" t="s">
        <v>68</v>
      </c>
      <c r="C1" s="10" t="s">
        <v>76</v>
      </c>
      <c r="D1" s="10" t="s">
        <v>77</v>
      </c>
      <c r="E1" s="10" t="s">
        <v>1</v>
      </c>
      <c r="F1" s="12" t="s">
        <v>82</v>
      </c>
      <c r="G1" s="12" t="s">
        <v>83</v>
      </c>
      <c r="H1" s="12" t="s">
        <v>79</v>
      </c>
      <c r="I1" s="12" t="s">
        <v>80</v>
      </c>
      <c r="J1" s="12" t="s">
        <v>78</v>
      </c>
      <c r="K1" s="12" t="s">
        <v>81</v>
      </c>
    </row>
    <row r="2" spans="1:12" x14ac:dyDescent="0.35">
      <c r="A2">
        <v>1995</v>
      </c>
      <c r="B2" s="10">
        <v>0.72702999999999995</v>
      </c>
      <c r="C2" s="10">
        <v>13.329575</v>
      </c>
      <c r="D2" s="10">
        <v>153.93096499999999</v>
      </c>
      <c r="E2" s="11">
        <v>155152</v>
      </c>
      <c r="I2" s="9"/>
    </row>
    <row r="3" spans="1:12" x14ac:dyDescent="0.35">
      <c r="A3">
        <v>1996</v>
      </c>
      <c r="B3" s="10">
        <v>0.61934500000000003</v>
      </c>
      <c r="C3" s="10">
        <v>10.010425</v>
      </c>
      <c r="D3" s="10">
        <v>228.66630499999999</v>
      </c>
      <c r="E3" s="11">
        <v>148780</v>
      </c>
      <c r="F3" s="10">
        <f>B2</f>
        <v>0.72702999999999995</v>
      </c>
      <c r="G3" s="10">
        <f>B3-F3</f>
        <v>-0.10768499999999992</v>
      </c>
      <c r="H3" s="10">
        <f t="shared" ref="H3:H30" si="0">D2</f>
        <v>153.93096499999999</v>
      </c>
      <c r="I3" s="10">
        <f t="shared" ref="I3:I30" si="1">D3-H3</f>
        <v>74.735340000000008</v>
      </c>
      <c r="J3" s="11">
        <f t="shared" ref="J3:J30" si="2">E2</f>
        <v>155152</v>
      </c>
      <c r="K3" s="11">
        <f t="shared" ref="K3:K30" si="3">E3-J3</f>
        <v>-6372</v>
      </c>
      <c r="L3" s="13">
        <f>ABS(K3/E3)</f>
        <v>4.2828337142088987E-2</v>
      </c>
    </row>
    <row r="4" spans="1:12" x14ac:dyDescent="0.35">
      <c r="A4">
        <v>1997</v>
      </c>
      <c r="B4" s="10">
        <v>0.57016166666666601</v>
      </c>
      <c r="C4" s="10">
        <v>12.548254999999999</v>
      </c>
      <c r="D4" s="10">
        <v>299.26623499999999</v>
      </c>
      <c r="E4" s="11">
        <v>173702</v>
      </c>
      <c r="F4" s="10">
        <f t="shared" ref="F4:F30" si="4">B3</f>
        <v>0.61934500000000003</v>
      </c>
      <c r="G4" s="10">
        <f t="shared" ref="G4:G30" si="5">B4-F4</f>
        <v>-4.9183333333334023E-2</v>
      </c>
      <c r="H4" s="10">
        <f t="shared" si="0"/>
        <v>228.66630499999999</v>
      </c>
      <c r="I4" s="10">
        <f t="shared" si="1"/>
        <v>70.599930000000001</v>
      </c>
      <c r="J4" s="11">
        <f t="shared" si="2"/>
        <v>148780</v>
      </c>
      <c r="K4" s="11">
        <f t="shared" si="3"/>
        <v>24922</v>
      </c>
      <c r="L4" s="13">
        <f t="shared" ref="L4:L30" si="6">ABS(K4/E4)</f>
        <v>0.14347560764988312</v>
      </c>
    </row>
    <row r="5" spans="1:12" x14ac:dyDescent="0.35">
      <c r="A5">
        <v>1998</v>
      </c>
      <c r="B5" s="10">
        <v>0.71102999999999905</v>
      </c>
      <c r="C5" s="10">
        <v>11.591044999999999</v>
      </c>
      <c r="D5" s="10">
        <v>184.80901499999999</v>
      </c>
      <c r="E5" s="11">
        <v>123519</v>
      </c>
      <c r="F5" s="10">
        <f t="shared" si="4"/>
        <v>0.57016166666666601</v>
      </c>
      <c r="G5" s="10">
        <f t="shared" si="5"/>
        <v>0.14086833333333304</v>
      </c>
      <c r="H5" s="10">
        <f t="shared" si="0"/>
        <v>299.26623499999999</v>
      </c>
      <c r="I5" s="10">
        <f t="shared" si="1"/>
        <v>-114.45722000000001</v>
      </c>
      <c r="J5" s="11">
        <f t="shared" si="2"/>
        <v>173702</v>
      </c>
      <c r="K5" s="11">
        <f t="shared" si="3"/>
        <v>-50183</v>
      </c>
      <c r="L5" s="13">
        <f t="shared" si="6"/>
        <v>0.40627757672908621</v>
      </c>
    </row>
    <row r="6" spans="1:12" x14ac:dyDescent="0.35">
      <c r="A6">
        <v>1999</v>
      </c>
      <c r="B6" s="10">
        <v>0.86521333333333295</v>
      </c>
      <c r="C6" s="10">
        <v>15.369590000000001</v>
      </c>
      <c r="D6" s="10">
        <v>291.49660499999999</v>
      </c>
      <c r="E6" s="11">
        <v>364000</v>
      </c>
      <c r="F6" s="10">
        <f t="shared" si="4"/>
        <v>0.71102999999999905</v>
      </c>
      <c r="G6" s="10">
        <f t="shared" si="5"/>
        <v>0.15418333333333389</v>
      </c>
      <c r="H6" s="10">
        <f t="shared" si="0"/>
        <v>184.80901499999999</v>
      </c>
      <c r="I6" s="10">
        <f t="shared" si="1"/>
        <v>106.68759</v>
      </c>
      <c r="J6" s="11">
        <f t="shared" si="2"/>
        <v>123519</v>
      </c>
      <c r="K6" s="11">
        <f t="shared" si="3"/>
        <v>240481</v>
      </c>
      <c r="L6" s="13">
        <f t="shared" si="6"/>
        <v>0.66066208791208791</v>
      </c>
    </row>
    <row r="7" spans="1:12" x14ac:dyDescent="0.35">
      <c r="A7">
        <v>2000</v>
      </c>
      <c r="B7" s="10">
        <v>0.549688333333333</v>
      </c>
      <c r="C7" s="10">
        <v>14.331725</v>
      </c>
      <c r="D7" s="10">
        <v>191.74173999999999</v>
      </c>
      <c r="E7" s="11">
        <v>202293</v>
      </c>
      <c r="F7" s="10">
        <f t="shared" si="4"/>
        <v>0.86521333333333295</v>
      </c>
      <c r="G7" s="10">
        <f t="shared" si="5"/>
        <v>-0.31552499999999994</v>
      </c>
      <c r="H7" s="10">
        <f t="shared" si="0"/>
        <v>291.49660499999999</v>
      </c>
      <c r="I7" s="10">
        <f t="shared" si="1"/>
        <v>-99.754864999999995</v>
      </c>
      <c r="J7" s="11">
        <f t="shared" si="2"/>
        <v>364000</v>
      </c>
      <c r="K7" s="11">
        <f t="shared" si="3"/>
        <v>-161707</v>
      </c>
      <c r="L7" s="13">
        <f t="shared" si="6"/>
        <v>0.799370220422852</v>
      </c>
    </row>
    <row r="8" spans="1:12" x14ac:dyDescent="0.35">
      <c r="A8">
        <v>2001</v>
      </c>
      <c r="B8" s="10">
        <v>0.60327166666666598</v>
      </c>
      <c r="C8" s="10">
        <v>12.43591</v>
      </c>
      <c r="D8" s="10">
        <v>212.47529</v>
      </c>
      <c r="E8" s="11">
        <v>206989</v>
      </c>
      <c r="F8" s="10">
        <f t="shared" si="4"/>
        <v>0.549688333333333</v>
      </c>
      <c r="G8" s="10">
        <f t="shared" si="5"/>
        <v>5.3583333333332983E-2</v>
      </c>
      <c r="H8" s="10">
        <f t="shared" si="0"/>
        <v>191.74173999999999</v>
      </c>
      <c r="I8" s="10">
        <f t="shared" si="1"/>
        <v>20.733550000000008</v>
      </c>
      <c r="J8" s="11">
        <f t="shared" si="2"/>
        <v>202293</v>
      </c>
      <c r="K8" s="11">
        <f t="shared" si="3"/>
        <v>4696</v>
      </c>
      <c r="L8" s="13">
        <f t="shared" si="6"/>
        <v>2.2687195937948393E-2</v>
      </c>
    </row>
    <row r="9" spans="1:12" x14ac:dyDescent="0.35">
      <c r="A9">
        <v>2002</v>
      </c>
      <c r="B9" s="10">
        <v>0.31985333333333299</v>
      </c>
      <c r="C9" s="10">
        <v>9.8503349999999994</v>
      </c>
      <c r="D9" s="10">
        <v>154.54413499999899</v>
      </c>
      <c r="E9" s="11">
        <v>172395</v>
      </c>
      <c r="F9" s="10">
        <f t="shared" si="4"/>
        <v>0.60327166666666598</v>
      </c>
      <c r="G9" s="10">
        <f t="shared" si="5"/>
        <v>-0.28341833333333299</v>
      </c>
      <c r="H9" s="10">
        <f t="shared" si="0"/>
        <v>212.47529</v>
      </c>
      <c r="I9" s="10">
        <f t="shared" si="1"/>
        <v>-57.931155000001013</v>
      </c>
      <c r="J9" s="11">
        <f t="shared" si="2"/>
        <v>206989</v>
      </c>
      <c r="K9" s="11">
        <f t="shared" si="3"/>
        <v>-34594</v>
      </c>
      <c r="L9" s="13">
        <f t="shared" si="6"/>
        <v>0.20066707271092549</v>
      </c>
    </row>
    <row r="10" spans="1:12" x14ac:dyDescent="0.35">
      <c r="A10">
        <v>2003</v>
      </c>
      <c r="B10" s="10">
        <v>0.52756666666666596</v>
      </c>
      <c r="C10" s="10">
        <v>10.40757</v>
      </c>
      <c r="D10" s="10">
        <v>219.70230000000001</v>
      </c>
      <c r="E10" s="11">
        <v>231805</v>
      </c>
      <c r="F10" s="10">
        <f t="shared" si="4"/>
        <v>0.31985333333333299</v>
      </c>
      <c r="G10" s="10">
        <f t="shared" si="5"/>
        <v>0.20771333333333297</v>
      </c>
      <c r="H10" s="10">
        <f t="shared" si="0"/>
        <v>154.54413499999899</v>
      </c>
      <c r="I10" s="10">
        <f t="shared" si="1"/>
        <v>65.15816500000102</v>
      </c>
      <c r="J10" s="11">
        <f t="shared" si="2"/>
        <v>172395</v>
      </c>
      <c r="K10" s="11">
        <f t="shared" si="3"/>
        <v>59410</v>
      </c>
      <c r="L10" s="13">
        <f t="shared" si="6"/>
        <v>0.25629300489635687</v>
      </c>
    </row>
    <row r="11" spans="1:12" x14ac:dyDescent="0.35">
      <c r="A11">
        <v>2004</v>
      </c>
      <c r="B11" s="10">
        <v>0.55339333333333296</v>
      </c>
      <c r="C11" s="10">
        <v>13.998585</v>
      </c>
      <c r="D11" s="10">
        <v>277.65585499999997</v>
      </c>
      <c r="E11" s="11">
        <v>201744</v>
      </c>
      <c r="F11" s="10">
        <f t="shared" si="4"/>
        <v>0.52756666666666596</v>
      </c>
      <c r="G11" s="10">
        <f t="shared" si="5"/>
        <v>2.5826666666666998E-2</v>
      </c>
      <c r="H11" s="10">
        <f t="shared" si="0"/>
        <v>219.70230000000001</v>
      </c>
      <c r="I11" s="10">
        <f t="shared" si="1"/>
        <v>57.953554999999966</v>
      </c>
      <c r="J11" s="11">
        <f t="shared" si="2"/>
        <v>231805</v>
      </c>
      <c r="K11" s="11">
        <f t="shared" si="3"/>
        <v>-30061</v>
      </c>
      <c r="L11" s="13">
        <f t="shared" si="6"/>
        <v>0.14900567055277977</v>
      </c>
    </row>
    <row r="12" spans="1:12" x14ac:dyDescent="0.35">
      <c r="A12">
        <v>2005</v>
      </c>
      <c r="B12" s="10">
        <v>0.65963333333333296</v>
      </c>
      <c r="C12" s="10">
        <v>13.806765</v>
      </c>
      <c r="D12" s="10">
        <v>371.26574499999998</v>
      </c>
      <c r="E12" s="11">
        <v>279080</v>
      </c>
      <c r="F12" s="10">
        <f t="shared" si="4"/>
        <v>0.55339333333333296</v>
      </c>
      <c r="G12" s="10">
        <f t="shared" si="5"/>
        <v>0.10624</v>
      </c>
      <c r="H12" s="10">
        <f t="shared" si="0"/>
        <v>277.65585499999997</v>
      </c>
      <c r="I12" s="10">
        <f t="shared" si="1"/>
        <v>93.609890000000007</v>
      </c>
      <c r="J12" s="11">
        <f t="shared" si="2"/>
        <v>201744</v>
      </c>
      <c r="K12" s="11">
        <f t="shared" si="3"/>
        <v>77336</v>
      </c>
      <c r="L12" s="13">
        <f t="shared" si="6"/>
        <v>0.27711050594811526</v>
      </c>
    </row>
    <row r="13" spans="1:12" x14ac:dyDescent="0.35">
      <c r="A13">
        <v>2006</v>
      </c>
      <c r="B13" s="10">
        <v>0.54903166666666603</v>
      </c>
      <c r="C13" s="10">
        <v>13.695885000000001</v>
      </c>
      <c r="D13" s="10">
        <v>256.05957000000001</v>
      </c>
      <c r="E13" s="11">
        <v>190493</v>
      </c>
      <c r="F13" s="10">
        <f t="shared" si="4"/>
        <v>0.65963333333333296</v>
      </c>
      <c r="G13" s="10">
        <f t="shared" si="5"/>
        <v>-0.11060166666666693</v>
      </c>
      <c r="H13" s="10">
        <f t="shared" si="0"/>
        <v>371.26574499999998</v>
      </c>
      <c r="I13" s="10">
        <f t="shared" si="1"/>
        <v>-115.20617499999997</v>
      </c>
      <c r="J13" s="11">
        <f t="shared" si="2"/>
        <v>279080</v>
      </c>
      <c r="K13" s="11">
        <f t="shared" si="3"/>
        <v>-88587</v>
      </c>
      <c r="L13" s="13">
        <f t="shared" si="6"/>
        <v>0.46504071015732862</v>
      </c>
    </row>
    <row r="14" spans="1:12" x14ac:dyDescent="0.35">
      <c r="A14">
        <v>2007</v>
      </c>
      <c r="B14" s="10">
        <v>0.45209666666666598</v>
      </c>
      <c r="C14" s="10">
        <v>10.02717</v>
      </c>
      <c r="D14" s="10">
        <v>181.593435</v>
      </c>
      <c r="E14" s="11">
        <v>193379</v>
      </c>
      <c r="F14" s="10">
        <f t="shared" si="4"/>
        <v>0.54903166666666603</v>
      </c>
      <c r="G14" s="10">
        <f t="shared" si="5"/>
        <v>-9.6935000000000049E-2</v>
      </c>
      <c r="H14" s="10">
        <f t="shared" si="0"/>
        <v>256.05957000000001</v>
      </c>
      <c r="I14" s="10">
        <f t="shared" si="1"/>
        <v>-74.466135000000008</v>
      </c>
      <c r="J14" s="11">
        <f t="shared" si="2"/>
        <v>190493</v>
      </c>
      <c r="K14" s="11">
        <f t="shared" si="3"/>
        <v>2886</v>
      </c>
      <c r="L14" s="13">
        <f t="shared" si="6"/>
        <v>1.4924061040754166E-2</v>
      </c>
    </row>
    <row r="15" spans="1:12" x14ac:dyDescent="0.35">
      <c r="A15">
        <v>2008</v>
      </c>
      <c r="B15" s="10">
        <v>0.86824666666666594</v>
      </c>
      <c r="C15" s="10">
        <v>14.17343</v>
      </c>
      <c r="D15" s="10">
        <v>412.05978499999901</v>
      </c>
      <c r="E15" s="11">
        <v>408219</v>
      </c>
      <c r="F15" s="10">
        <f t="shared" si="4"/>
        <v>0.45209666666666598</v>
      </c>
      <c r="G15" s="10">
        <f t="shared" si="5"/>
        <v>0.41614999999999996</v>
      </c>
      <c r="H15" s="10">
        <f t="shared" si="0"/>
        <v>181.593435</v>
      </c>
      <c r="I15" s="10">
        <f t="shared" si="1"/>
        <v>230.46634999999901</v>
      </c>
      <c r="J15" s="11">
        <f t="shared" si="2"/>
        <v>193379</v>
      </c>
      <c r="K15" s="11">
        <f t="shared" si="3"/>
        <v>214840</v>
      </c>
      <c r="L15" s="13">
        <f t="shared" si="6"/>
        <v>0.52628613562817994</v>
      </c>
    </row>
    <row r="16" spans="1:12" x14ac:dyDescent="0.35">
      <c r="A16">
        <v>2009</v>
      </c>
      <c r="B16" s="10">
        <v>0.74516000000000004</v>
      </c>
      <c r="C16" s="10">
        <v>15.52603</v>
      </c>
      <c r="D16" s="10">
        <v>260.21795500000002</v>
      </c>
      <c r="E16" s="11">
        <v>502104</v>
      </c>
      <c r="F16" s="10">
        <f t="shared" si="4"/>
        <v>0.86824666666666594</v>
      </c>
      <c r="G16" s="10">
        <f t="shared" si="5"/>
        <v>-0.1230866666666659</v>
      </c>
      <c r="H16" s="10">
        <f t="shared" si="0"/>
        <v>412.05978499999901</v>
      </c>
      <c r="I16" s="10">
        <f t="shared" si="1"/>
        <v>-151.84182999999899</v>
      </c>
      <c r="J16" s="11">
        <f t="shared" si="2"/>
        <v>408219</v>
      </c>
      <c r="K16" s="11">
        <f t="shared" si="3"/>
        <v>93885</v>
      </c>
      <c r="L16" s="13">
        <f t="shared" si="6"/>
        <v>0.18698317480043974</v>
      </c>
    </row>
    <row r="17" spans="1:12" x14ac:dyDescent="0.35">
      <c r="A17">
        <v>2010</v>
      </c>
      <c r="B17" s="10">
        <v>0.81715833333333299</v>
      </c>
      <c r="C17" s="10">
        <v>15.110514999999999</v>
      </c>
      <c r="D17" s="10">
        <v>279.15816000000001</v>
      </c>
      <c r="E17" s="11">
        <v>604043.30000000005</v>
      </c>
      <c r="F17" s="10">
        <f t="shared" si="4"/>
        <v>0.74516000000000004</v>
      </c>
      <c r="G17" s="10">
        <f t="shared" si="5"/>
        <v>7.1998333333332942E-2</v>
      </c>
      <c r="H17" s="10">
        <f t="shared" si="0"/>
        <v>260.21795500000002</v>
      </c>
      <c r="I17" s="10">
        <f t="shared" si="1"/>
        <v>18.940204999999992</v>
      </c>
      <c r="J17" s="11">
        <f t="shared" si="2"/>
        <v>502104</v>
      </c>
      <c r="K17" s="11">
        <f t="shared" si="3"/>
        <v>101939.30000000005</v>
      </c>
      <c r="L17" s="13">
        <f t="shared" si="6"/>
        <v>0.16876157719156895</v>
      </c>
    </row>
    <row r="18" spans="1:12" x14ac:dyDescent="0.35">
      <c r="A18">
        <v>2011</v>
      </c>
      <c r="B18" s="10">
        <v>0.64337333333333302</v>
      </c>
      <c r="C18" s="10">
        <v>15.717644999999999</v>
      </c>
      <c r="D18" s="10">
        <v>187.78010499999999</v>
      </c>
      <c r="E18" s="11">
        <v>405824</v>
      </c>
      <c r="F18" s="10">
        <f t="shared" si="4"/>
        <v>0.81715833333333299</v>
      </c>
      <c r="G18" s="10">
        <f t="shared" si="5"/>
        <v>-0.17378499999999997</v>
      </c>
      <c r="H18" s="10">
        <f t="shared" si="0"/>
        <v>279.15816000000001</v>
      </c>
      <c r="I18" s="10">
        <f t="shared" si="1"/>
        <v>-91.378055000000018</v>
      </c>
      <c r="J18" s="11">
        <f t="shared" si="2"/>
        <v>604043.30000000005</v>
      </c>
      <c r="K18" s="11">
        <f t="shared" si="3"/>
        <v>-198219.30000000005</v>
      </c>
      <c r="L18" s="13">
        <f t="shared" si="6"/>
        <v>0.48843661291594398</v>
      </c>
    </row>
    <row r="19" spans="1:12" x14ac:dyDescent="0.35">
      <c r="A19">
        <v>2012</v>
      </c>
      <c r="B19" s="10">
        <v>0.685771666666666</v>
      </c>
      <c r="C19" s="10">
        <v>14.073815</v>
      </c>
      <c r="D19" s="10">
        <v>290.41948000000002</v>
      </c>
      <c r="E19" s="11">
        <v>469649</v>
      </c>
      <c r="F19" s="10">
        <f t="shared" si="4"/>
        <v>0.64337333333333302</v>
      </c>
      <c r="G19" s="10">
        <f t="shared" si="5"/>
        <v>4.2398333333332983E-2</v>
      </c>
      <c r="H19" s="10">
        <f t="shared" si="0"/>
        <v>187.78010499999999</v>
      </c>
      <c r="I19" s="10">
        <f t="shared" si="1"/>
        <v>102.63937500000003</v>
      </c>
      <c r="J19" s="11">
        <f t="shared" si="2"/>
        <v>405824</v>
      </c>
      <c r="K19" s="11">
        <f t="shared" si="3"/>
        <v>63825</v>
      </c>
      <c r="L19" s="13">
        <f t="shared" si="6"/>
        <v>0.13589936314140985</v>
      </c>
    </row>
    <row r="20" spans="1:12" x14ac:dyDescent="0.35">
      <c r="A20">
        <v>2013</v>
      </c>
      <c r="B20" s="10">
        <v>0.706108333333333</v>
      </c>
      <c r="C20" s="10">
        <v>15.195905</v>
      </c>
      <c r="D20" s="10">
        <v>201.11938499999999</v>
      </c>
      <c r="E20" s="11">
        <v>436153</v>
      </c>
      <c r="F20" s="10">
        <f t="shared" si="4"/>
        <v>0.685771666666666</v>
      </c>
      <c r="G20" s="10">
        <f t="shared" si="5"/>
        <v>2.0336666666667003E-2</v>
      </c>
      <c r="H20" s="10">
        <f t="shared" si="0"/>
        <v>290.41948000000002</v>
      </c>
      <c r="I20" s="10">
        <f t="shared" si="1"/>
        <v>-89.300095000000027</v>
      </c>
      <c r="J20" s="11">
        <f t="shared" si="2"/>
        <v>469649</v>
      </c>
      <c r="K20" s="11">
        <f t="shared" si="3"/>
        <v>-33496</v>
      </c>
      <c r="L20" s="13">
        <f t="shared" si="6"/>
        <v>7.6798738057516511E-2</v>
      </c>
    </row>
    <row r="21" spans="1:12" x14ac:dyDescent="0.35">
      <c r="A21">
        <v>2014</v>
      </c>
      <c r="B21" s="10">
        <v>0.60194999999999999</v>
      </c>
      <c r="C21" s="10">
        <v>14.20538</v>
      </c>
      <c r="D21" s="10">
        <v>155.26899999999901</v>
      </c>
      <c r="E21" s="11">
        <v>559021</v>
      </c>
      <c r="F21" s="10">
        <f t="shared" si="4"/>
        <v>0.706108333333333</v>
      </c>
      <c r="G21" s="10">
        <f t="shared" si="5"/>
        <v>-0.10415833333333302</v>
      </c>
      <c r="H21" s="10">
        <f t="shared" si="0"/>
        <v>201.11938499999999</v>
      </c>
      <c r="I21" s="10">
        <f t="shared" si="1"/>
        <v>-45.850385000000983</v>
      </c>
      <c r="J21" s="11">
        <f t="shared" si="2"/>
        <v>436153</v>
      </c>
      <c r="K21" s="11">
        <f t="shared" si="3"/>
        <v>122868</v>
      </c>
      <c r="L21" s="13">
        <f t="shared" si="6"/>
        <v>0.21979138529679565</v>
      </c>
    </row>
    <row r="22" spans="1:12" x14ac:dyDescent="0.35">
      <c r="A22">
        <v>2015</v>
      </c>
      <c r="B22" s="10">
        <v>0.55791500000000005</v>
      </c>
      <c r="C22" s="10">
        <v>12.80172</v>
      </c>
      <c r="D22" s="10">
        <v>229.33441999999999</v>
      </c>
      <c r="E22" s="11">
        <v>906348</v>
      </c>
      <c r="F22" s="10">
        <f t="shared" si="4"/>
        <v>0.60194999999999999</v>
      </c>
      <c r="G22" s="10">
        <f t="shared" si="5"/>
        <v>-4.4034999999999935E-2</v>
      </c>
      <c r="H22" s="10">
        <f t="shared" si="0"/>
        <v>155.26899999999901</v>
      </c>
      <c r="I22" s="10">
        <f t="shared" si="1"/>
        <v>74.065420000000984</v>
      </c>
      <c r="J22" s="11">
        <f t="shared" si="2"/>
        <v>559021</v>
      </c>
      <c r="K22" s="11">
        <f t="shared" si="3"/>
        <v>347327</v>
      </c>
      <c r="L22" s="13">
        <f t="shared" si="6"/>
        <v>0.38321593913154772</v>
      </c>
    </row>
    <row r="23" spans="1:12" x14ac:dyDescent="0.35">
      <c r="A23">
        <v>2016</v>
      </c>
      <c r="B23" s="10">
        <v>0.69301500000000005</v>
      </c>
      <c r="C23" s="10">
        <v>14.860655</v>
      </c>
      <c r="D23" s="10">
        <v>259.19231500000001</v>
      </c>
      <c r="E23" s="11">
        <v>950779</v>
      </c>
      <c r="F23" s="10">
        <f t="shared" si="4"/>
        <v>0.55791500000000005</v>
      </c>
      <c r="G23" s="10">
        <f t="shared" si="5"/>
        <v>0.1351</v>
      </c>
      <c r="H23" s="10">
        <f t="shared" si="0"/>
        <v>229.33441999999999</v>
      </c>
      <c r="I23" s="10">
        <f t="shared" si="1"/>
        <v>29.857895000000013</v>
      </c>
      <c r="J23" s="11">
        <f t="shared" si="2"/>
        <v>906348</v>
      </c>
      <c r="K23" s="11">
        <f t="shared" si="3"/>
        <v>44431</v>
      </c>
      <c r="L23" s="13">
        <f t="shared" si="6"/>
        <v>4.6731154137817518E-2</v>
      </c>
    </row>
    <row r="24" spans="1:12" x14ac:dyDescent="0.35">
      <c r="A24">
        <v>2017</v>
      </c>
      <c r="B24" s="10">
        <v>0.77094333333333298</v>
      </c>
      <c r="C24" s="10">
        <v>15.365489999999999</v>
      </c>
      <c r="D24" s="10">
        <v>311.30731500000002</v>
      </c>
      <c r="E24" s="11">
        <v>1011269</v>
      </c>
      <c r="F24" s="10">
        <f t="shared" si="4"/>
        <v>0.69301500000000005</v>
      </c>
      <c r="G24" s="10">
        <f t="shared" si="5"/>
        <v>7.7928333333332933E-2</v>
      </c>
      <c r="H24" s="10">
        <f t="shared" si="0"/>
        <v>259.19231500000001</v>
      </c>
      <c r="I24" s="10">
        <f t="shared" si="1"/>
        <v>52.115000000000009</v>
      </c>
      <c r="J24" s="11">
        <f t="shared" si="2"/>
        <v>950779</v>
      </c>
      <c r="K24" s="11">
        <f t="shared" si="3"/>
        <v>60490</v>
      </c>
      <c r="L24" s="13">
        <f t="shared" si="6"/>
        <v>5.981593423708232E-2</v>
      </c>
    </row>
    <row r="25" spans="1:12" x14ac:dyDescent="0.35">
      <c r="A25">
        <v>2018</v>
      </c>
      <c r="B25" s="10">
        <v>0.69455500000000003</v>
      </c>
      <c r="C25" s="10">
        <v>14.143795000000001</v>
      </c>
      <c r="D25" s="10">
        <v>234.735345</v>
      </c>
      <c r="E25" s="11">
        <v>1206587.27</v>
      </c>
      <c r="F25" s="10">
        <f t="shared" si="4"/>
        <v>0.77094333333333298</v>
      </c>
      <c r="G25" s="10">
        <f t="shared" si="5"/>
        <v>-7.6388333333332947E-2</v>
      </c>
      <c r="H25" s="10">
        <f t="shared" si="0"/>
        <v>311.30731500000002</v>
      </c>
      <c r="I25" s="10">
        <f t="shared" si="1"/>
        <v>-76.571970000000022</v>
      </c>
      <c r="J25" s="11">
        <f t="shared" si="2"/>
        <v>1011269</v>
      </c>
      <c r="K25" s="11">
        <f t="shared" si="3"/>
        <v>195318.27000000002</v>
      </c>
      <c r="L25" s="13">
        <f t="shared" si="6"/>
        <v>0.16187662082660628</v>
      </c>
    </row>
    <row r="26" spans="1:12" x14ac:dyDescent="0.35">
      <c r="A26">
        <v>2019</v>
      </c>
      <c r="B26" s="10">
        <v>0.52908166666666601</v>
      </c>
      <c r="C26" s="10">
        <v>13.472099999999999</v>
      </c>
      <c r="D26" s="10">
        <v>163.57874000000001</v>
      </c>
      <c r="E26" s="11">
        <v>1155730.28</v>
      </c>
      <c r="F26" s="10">
        <f t="shared" si="4"/>
        <v>0.69455500000000003</v>
      </c>
      <c r="G26" s="10">
        <f t="shared" si="5"/>
        <v>-0.16547333333333403</v>
      </c>
      <c r="H26" s="10">
        <f t="shared" si="0"/>
        <v>234.735345</v>
      </c>
      <c r="I26" s="10">
        <f t="shared" si="1"/>
        <v>-71.156604999999985</v>
      </c>
      <c r="J26" s="11">
        <f t="shared" si="2"/>
        <v>1206587.27</v>
      </c>
      <c r="K26" s="11">
        <f t="shared" si="3"/>
        <v>-50856.989999999991</v>
      </c>
      <c r="L26" s="13">
        <f t="shared" si="6"/>
        <v>4.4004203126009632E-2</v>
      </c>
    </row>
    <row r="27" spans="1:12" x14ac:dyDescent="0.35">
      <c r="A27">
        <v>2020</v>
      </c>
      <c r="B27" s="10">
        <v>0.79276499999999905</v>
      </c>
      <c r="C27" s="10">
        <v>13.30922</v>
      </c>
      <c r="D27" s="10">
        <v>423.99309</v>
      </c>
      <c r="E27" s="11">
        <v>1349723.01</v>
      </c>
      <c r="F27" s="10">
        <f t="shared" si="4"/>
        <v>0.52908166666666601</v>
      </c>
      <c r="G27" s="10">
        <f t="shared" si="5"/>
        <v>0.26368333333333305</v>
      </c>
      <c r="H27" s="10">
        <f t="shared" si="0"/>
        <v>163.57874000000001</v>
      </c>
      <c r="I27" s="10">
        <f t="shared" si="1"/>
        <v>260.41435000000001</v>
      </c>
      <c r="J27" s="11">
        <f t="shared" si="2"/>
        <v>1155730.28</v>
      </c>
      <c r="K27" s="11">
        <f t="shared" si="3"/>
        <v>193992.72999999998</v>
      </c>
      <c r="L27" s="13">
        <f t="shared" si="6"/>
        <v>0.14372780827082438</v>
      </c>
    </row>
    <row r="28" spans="1:12" x14ac:dyDescent="0.35">
      <c r="A28">
        <v>2021</v>
      </c>
      <c r="B28" s="10">
        <v>0.67874833333333295</v>
      </c>
      <c r="C28" s="10">
        <v>15.231705</v>
      </c>
      <c r="D28" s="10">
        <v>345.89476999999999</v>
      </c>
      <c r="E28" s="11">
        <v>1382119.93</v>
      </c>
      <c r="F28" s="10">
        <f t="shared" si="4"/>
        <v>0.79276499999999905</v>
      </c>
      <c r="G28" s="10">
        <f t="shared" si="5"/>
        <v>-0.1140166666666661</v>
      </c>
      <c r="H28" s="10">
        <f t="shared" si="0"/>
        <v>423.99309</v>
      </c>
      <c r="I28" s="10">
        <f t="shared" si="1"/>
        <v>-78.098320000000001</v>
      </c>
      <c r="J28" s="11">
        <f t="shared" si="2"/>
        <v>1349723.01</v>
      </c>
      <c r="K28" s="11">
        <f t="shared" si="3"/>
        <v>32396.919999999925</v>
      </c>
      <c r="L28" s="13">
        <f t="shared" si="6"/>
        <v>2.3440020867074775E-2</v>
      </c>
    </row>
    <row r="29" spans="1:12" x14ac:dyDescent="0.35">
      <c r="A29">
        <v>2022</v>
      </c>
      <c r="B29" s="10">
        <v>0.8262775</v>
      </c>
      <c r="C29" s="10">
        <v>16.7712</v>
      </c>
      <c r="D29" s="10">
        <v>474.30213500000002</v>
      </c>
      <c r="E29" s="11">
        <v>1409120</v>
      </c>
      <c r="F29" s="10">
        <f t="shared" si="4"/>
        <v>0.67874833333333295</v>
      </c>
      <c r="G29" s="10">
        <f t="shared" si="5"/>
        <v>0.14752916666666704</v>
      </c>
      <c r="H29" s="10">
        <f t="shared" si="0"/>
        <v>345.89476999999999</v>
      </c>
      <c r="I29" s="10">
        <f t="shared" si="1"/>
        <v>128.40736500000003</v>
      </c>
      <c r="J29" s="11">
        <f t="shared" si="2"/>
        <v>1382119.93</v>
      </c>
      <c r="K29" s="11">
        <f t="shared" si="3"/>
        <v>27000.070000000065</v>
      </c>
      <c r="L29" s="13">
        <f t="shared" si="6"/>
        <v>1.9160944419212036E-2</v>
      </c>
    </row>
    <row r="30" spans="1:12" x14ac:dyDescent="0.35">
      <c r="A30">
        <v>2023</v>
      </c>
      <c r="B30" s="10">
        <v>0.81811333333333303</v>
      </c>
      <c r="C30" s="10">
        <v>16.200980000000001</v>
      </c>
      <c r="D30" s="10">
        <v>279.21334000000002</v>
      </c>
      <c r="E30" s="11">
        <v>1521000</v>
      </c>
      <c r="F30" s="10">
        <f t="shared" si="4"/>
        <v>0.8262775</v>
      </c>
      <c r="G30" s="10">
        <f t="shared" si="5"/>
        <v>-8.1641666666669721E-3</v>
      </c>
      <c r="H30" s="10">
        <f t="shared" si="0"/>
        <v>474.30213500000002</v>
      </c>
      <c r="I30" s="10">
        <f t="shared" si="1"/>
        <v>-195.088795</v>
      </c>
      <c r="J30" s="11">
        <f t="shared" si="2"/>
        <v>1409120</v>
      </c>
      <c r="K30" s="11">
        <f t="shared" si="3"/>
        <v>111880</v>
      </c>
      <c r="L30" s="13">
        <f t="shared" si="6"/>
        <v>7.3556870479947398E-2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D9E2-11D0-4ABC-8C84-4B9EEE28D7FC}">
  <dimension ref="A1:H8"/>
  <sheetViews>
    <sheetView workbookViewId="0">
      <selection activeCell="G8" sqref="G8"/>
    </sheetView>
  </sheetViews>
  <sheetFormatPr defaultRowHeight="14.5" x14ac:dyDescent="0.35"/>
  <cols>
    <col min="1" max="1" width="14.08984375" customWidth="1"/>
    <col min="2" max="2" width="10.36328125" customWidth="1"/>
    <col min="3" max="3" width="13.54296875" bestFit="1" customWidth="1"/>
    <col min="4" max="4" width="17.6328125" bestFit="1" customWidth="1"/>
    <col min="5" max="5" width="10.26953125" bestFit="1" customWidth="1"/>
    <col min="6" max="6" width="14.7265625" bestFit="1" customWidth="1"/>
    <col min="7" max="7" width="14" bestFit="1" customWidth="1"/>
    <col min="8" max="8" width="14.81640625" bestFit="1" customWidth="1"/>
  </cols>
  <sheetData>
    <row r="1" spans="1:8" x14ac:dyDescent="0.35">
      <c r="A1" s="6"/>
      <c r="B1" s="6" t="s">
        <v>68</v>
      </c>
      <c r="C1" s="6" t="s">
        <v>76</v>
      </c>
      <c r="D1" s="6" t="s">
        <v>77</v>
      </c>
      <c r="E1" s="6" t="s">
        <v>1</v>
      </c>
      <c r="F1" s="6" t="s">
        <v>83</v>
      </c>
      <c r="G1" s="6" t="s">
        <v>80</v>
      </c>
      <c r="H1" s="6" t="s">
        <v>81</v>
      </c>
    </row>
    <row r="2" spans="1:8" x14ac:dyDescent="0.35">
      <c r="A2" t="s">
        <v>68</v>
      </c>
      <c r="B2" s="7">
        <v>1</v>
      </c>
      <c r="C2" s="7"/>
      <c r="D2" s="7"/>
      <c r="E2" s="7"/>
      <c r="F2" s="7"/>
      <c r="G2" s="7"/>
      <c r="H2" s="7"/>
    </row>
    <row r="3" spans="1:8" x14ac:dyDescent="0.35">
      <c r="A3" t="s">
        <v>76</v>
      </c>
      <c r="B3" s="7">
        <v>0.68589998329809188</v>
      </c>
      <c r="C3" s="7">
        <v>1</v>
      </c>
      <c r="D3" s="7"/>
      <c r="E3" s="7"/>
      <c r="F3" s="7"/>
      <c r="G3" s="7"/>
      <c r="H3" s="7"/>
    </row>
    <row r="4" spans="1:8" x14ac:dyDescent="0.35">
      <c r="A4" t="s">
        <v>77</v>
      </c>
      <c r="B4" s="7">
        <v>0.5991593927544463</v>
      </c>
      <c r="C4" s="7">
        <v>0.43028462130697315</v>
      </c>
      <c r="D4" s="7">
        <v>1</v>
      </c>
      <c r="E4" s="7"/>
      <c r="F4" s="7"/>
      <c r="G4" s="7"/>
      <c r="H4" s="7"/>
    </row>
    <row r="5" spans="1:8" x14ac:dyDescent="0.35">
      <c r="A5" t="s">
        <v>1</v>
      </c>
      <c r="B5" s="7">
        <v>0.42044070686321028</v>
      </c>
      <c r="C5" s="7">
        <v>0.53768990199416522</v>
      </c>
      <c r="D5" s="7">
        <v>0.45051449408411715</v>
      </c>
      <c r="E5" s="7">
        <v>1</v>
      </c>
      <c r="F5" s="7"/>
      <c r="G5" s="7"/>
      <c r="H5" s="7"/>
    </row>
    <row r="6" spans="1:8" x14ac:dyDescent="0.35">
      <c r="A6" t="s">
        <v>83</v>
      </c>
      <c r="B6" s="7">
        <v>0.63993208645042154</v>
      </c>
      <c r="C6" s="7">
        <v>0.13402600250282679</v>
      </c>
      <c r="D6" s="7">
        <v>0.63714382861303054</v>
      </c>
      <c r="E6" s="7">
        <v>0.13049089424749766</v>
      </c>
      <c r="F6" s="7">
        <v>1</v>
      </c>
      <c r="G6" s="7"/>
      <c r="H6" s="7"/>
    </row>
    <row r="7" spans="1:8" x14ac:dyDescent="0.35">
      <c r="A7" t="s">
        <v>80</v>
      </c>
      <c r="B7" s="7">
        <v>0.30364987156928658</v>
      </c>
      <c r="C7" s="7">
        <v>-7.6439655780673632E-2</v>
      </c>
      <c r="D7" s="7">
        <v>0.65196698740686221</v>
      </c>
      <c r="E7" s="7">
        <v>2.9355010034308713E-2</v>
      </c>
      <c r="F7" s="7">
        <v>0.69525668953167241</v>
      </c>
      <c r="G7" s="7">
        <v>1</v>
      </c>
      <c r="H7" s="7"/>
    </row>
    <row r="8" spans="1:8" ht="15" thickBot="1" x14ac:dyDescent="0.4">
      <c r="A8" s="5" t="s">
        <v>81</v>
      </c>
      <c r="B8" s="8">
        <v>0.43063945240216128</v>
      </c>
      <c r="C8" s="8">
        <v>0.10019812530806756</v>
      </c>
      <c r="D8" s="8">
        <v>0.3859332858722429</v>
      </c>
      <c r="E8" s="8">
        <v>0.37118764637780804</v>
      </c>
      <c r="F8" s="8">
        <v>0.50249437560349397</v>
      </c>
      <c r="G8" s="8">
        <v>0.47755608533828858</v>
      </c>
      <c r="H8" s="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CEF2-1A54-492E-BFB0-2DB1CAB9F660}">
  <dimension ref="A1:E30"/>
  <sheetViews>
    <sheetView workbookViewId="0">
      <selection activeCell="E1" sqref="A1:E1"/>
    </sheetView>
  </sheetViews>
  <sheetFormatPr defaultRowHeight="14.5" x14ac:dyDescent="0.35"/>
  <cols>
    <col min="2" max="5" width="21" customWidth="1"/>
  </cols>
  <sheetData>
    <row r="1" spans="1:5" x14ac:dyDescent="0.35">
      <c r="A1" s="2" t="s">
        <v>2</v>
      </c>
      <c r="B1" s="2" t="s">
        <v>68</v>
      </c>
      <c r="C1" s="2" t="s">
        <v>76</v>
      </c>
      <c r="D1" s="2" t="s">
        <v>77</v>
      </c>
      <c r="E1" s="2" t="s">
        <v>1</v>
      </c>
    </row>
    <row r="2" spans="1:5" x14ac:dyDescent="0.35">
      <c r="A2" s="4">
        <v>1995</v>
      </c>
      <c r="B2">
        <v>0.71273133333333305</v>
      </c>
      <c r="C2">
        <v>13.140108</v>
      </c>
      <c r="D2">
        <v>138.43964800000001</v>
      </c>
      <c r="E2">
        <v>106509</v>
      </c>
    </row>
    <row r="3" spans="1:5" x14ac:dyDescent="0.35">
      <c r="A3" s="4">
        <v>1996</v>
      </c>
      <c r="B3">
        <v>0.594318666666666</v>
      </c>
      <c r="C3">
        <v>9.8142399999999999</v>
      </c>
      <c r="D3">
        <v>214.87943399999901</v>
      </c>
      <c r="E3">
        <v>88634</v>
      </c>
    </row>
    <row r="4" spans="1:5" x14ac:dyDescent="0.35">
      <c r="A4" s="4">
        <v>1997</v>
      </c>
      <c r="B4">
        <v>0.56361333333333297</v>
      </c>
      <c r="C4">
        <v>12.566566</v>
      </c>
      <c r="D4">
        <v>299.48321600000003</v>
      </c>
      <c r="E4">
        <v>80281</v>
      </c>
    </row>
    <row r="5" spans="1:5" x14ac:dyDescent="0.35">
      <c r="A5" s="4">
        <v>1998</v>
      </c>
      <c r="B5">
        <v>0.65295266666666596</v>
      </c>
      <c r="C5">
        <v>11.055295999999901</v>
      </c>
      <c r="D5">
        <v>184.99557999999999</v>
      </c>
      <c r="E5">
        <v>44339</v>
      </c>
    </row>
    <row r="6" spans="1:5" x14ac:dyDescent="0.35">
      <c r="A6" s="4">
        <v>1999</v>
      </c>
      <c r="B6">
        <v>0.89478399999999902</v>
      </c>
      <c r="C6">
        <v>15.1473</v>
      </c>
      <c r="D6">
        <v>274.931106</v>
      </c>
      <c r="E6">
        <v>66132</v>
      </c>
    </row>
    <row r="7" spans="1:5" x14ac:dyDescent="0.35">
      <c r="A7" s="4">
        <v>2000</v>
      </c>
      <c r="B7">
        <v>0.52637800000000001</v>
      </c>
      <c r="C7">
        <v>14.096477999999999</v>
      </c>
      <c r="D7">
        <v>175.75328399999901</v>
      </c>
      <c r="E7">
        <v>78593</v>
      </c>
    </row>
    <row r="8" spans="1:5" x14ac:dyDescent="0.35">
      <c r="A8" s="4">
        <v>2001</v>
      </c>
      <c r="B8">
        <v>0.61539733333333302</v>
      </c>
      <c r="C8">
        <v>12.464224</v>
      </c>
      <c r="D8">
        <v>203.97608199999999</v>
      </c>
      <c r="E8">
        <v>108546</v>
      </c>
    </row>
    <row r="9" spans="1:5" x14ac:dyDescent="0.35">
      <c r="A9" s="4">
        <v>2002</v>
      </c>
      <c r="B9">
        <v>0.26151200000000002</v>
      </c>
      <c r="C9">
        <v>9.122204</v>
      </c>
      <c r="D9">
        <v>156.69888399999999</v>
      </c>
      <c r="E9">
        <v>80372</v>
      </c>
    </row>
    <row r="10" spans="1:5" x14ac:dyDescent="0.35">
      <c r="A10" s="4">
        <v>2003</v>
      </c>
      <c r="B10">
        <v>0.51470733333333296</v>
      </c>
      <c r="C10">
        <v>10.294974</v>
      </c>
      <c r="D10">
        <v>218.651084</v>
      </c>
      <c r="E10">
        <v>400907</v>
      </c>
    </row>
    <row r="11" spans="1:5" x14ac:dyDescent="0.35">
      <c r="A11" s="4">
        <v>2004</v>
      </c>
      <c r="B11">
        <v>0.54305466666666602</v>
      </c>
      <c r="C11">
        <v>13.510726</v>
      </c>
      <c r="D11">
        <v>281.69792999999999</v>
      </c>
      <c r="E11">
        <v>400555</v>
      </c>
    </row>
    <row r="12" spans="1:5" x14ac:dyDescent="0.35">
      <c r="A12" s="4">
        <v>2005</v>
      </c>
      <c r="B12">
        <v>0.62740600000000002</v>
      </c>
      <c r="C12">
        <v>13.642632000000001</v>
      </c>
      <c r="D12">
        <v>376.03884599999998</v>
      </c>
      <c r="E12">
        <v>399958</v>
      </c>
    </row>
    <row r="13" spans="1:5" x14ac:dyDescent="0.35">
      <c r="A13" s="4">
        <v>2006</v>
      </c>
      <c r="B13">
        <v>0.51546133333333299</v>
      </c>
      <c r="C13">
        <v>13.32835</v>
      </c>
      <c r="D13">
        <v>224.36911799999999</v>
      </c>
      <c r="E13">
        <v>181585</v>
      </c>
    </row>
    <row r="14" spans="1:5" x14ac:dyDescent="0.35">
      <c r="A14" s="4">
        <v>2007</v>
      </c>
      <c r="B14">
        <v>0.44767333333333298</v>
      </c>
      <c r="C14">
        <v>9.8952120000000008</v>
      </c>
      <c r="D14">
        <v>190.284682</v>
      </c>
      <c r="E14">
        <v>158266</v>
      </c>
    </row>
    <row r="15" spans="1:5" x14ac:dyDescent="0.35">
      <c r="A15" s="4">
        <v>2008</v>
      </c>
      <c r="B15">
        <v>0.86007199999999995</v>
      </c>
      <c r="C15">
        <v>13.918203999999999</v>
      </c>
      <c r="D15">
        <v>384.57896599999998</v>
      </c>
      <c r="E15">
        <v>397326</v>
      </c>
    </row>
    <row r="16" spans="1:5" x14ac:dyDescent="0.35">
      <c r="A16" s="4">
        <v>2009</v>
      </c>
      <c r="B16">
        <v>0.73202999999999996</v>
      </c>
      <c r="C16">
        <v>15.3218219999999</v>
      </c>
      <c r="D16">
        <v>272.16319399999998</v>
      </c>
      <c r="E16">
        <v>291301</v>
      </c>
    </row>
    <row r="17" spans="1:5" x14ac:dyDescent="0.35">
      <c r="A17" s="4">
        <v>2010</v>
      </c>
      <c r="B17">
        <v>0.80238733333333301</v>
      </c>
      <c r="C17">
        <v>14.852884</v>
      </c>
      <c r="D17">
        <v>275.30165799999997</v>
      </c>
      <c r="E17">
        <v>186511.03</v>
      </c>
    </row>
    <row r="18" spans="1:5" x14ac:dyDescent="0.35">
      <c r="A18" s="4">
        <v>2011</v>
      </c>
      <c r="B18">
        <v>0.61333799999999905</v>
      </c>
      <c r="C18">
        <v>15.267525999999901</v>
      </c>
      <c r="D18">
        <v>172.983656</v>
      </c>
      <c r="E18">
        <v>124092</v>
      </c>
    </row>
    <row r="19" spans="1:5" x14ac:dyDescent="0.35">
      <c r="A19" s="4">
        <v>2012</v>
      </c>
      <c r="B19">
        <v>0.684782</v>
      </c>
      <c r="C19">
        <v>13.7830499999999</v>
      </c>
      <c r="D19">
        <v>253.88019600000001</v>
      </c>
      <c r="E19">
        <v>228422.65</v>
      </c>
    </row>
    <row r="20" spans="1:5" x14ac:dyDescent="0.35">
      <c r="A20" s="4">
        <v>2013</v>
      </c>
      <c r="B20">
        <v>0.67011933333333296</v>
      </c>
      <c r="C20">
        <v>14.656438</v>
      </c>
      <c r="D20">
        <v>191.63542000000001</v>
      </c>
      <c r="E20">
        <v>225902</v>
      </c>
    </row>
    <row r="21" spans="1:5" x14ac:dyDescent="0.35">
      <c r="A21" s="4">
        <v>2014</v>
      </c>
      <c r="B21">
        <v>0.54988199999999998</v>
      </c>
      <c r="C21">
        <v>13.695358000000001</v>
      </c>
      <c r="D21">
        <v>157.02571</v>
      </c>
      <c r="E21">
        <v>178732</v>
      </c>
    </row>
    <row r="22" spans="1:5" x14ac:dyDescent="0.35">
      <c r="A22" s="4">
        <v>2015</v>
      </c>
      <c r="B22">
        <v>0.507896666666666</v>
      </c>
      <c r="C22">
        <v>12.177508</v>
      </c>
      <c r="D22">
        <v>210.16225800000001</v>
      </c>
      <c r="E22">
        <v>304296</v>
      </c>
    </row>
    <row r="23" spans="1:5" x14ac:dyDescent="0.35">
      <c r="A23" s="4">
        <v>2016</v>
      </c>
      <c r="B23">
        <v>0.62433933333333302</v>
      </c>
      <c r="C23">
        <v>14.05692</v>
      </c>
      <c r="D23">
        <v>253.25304600000001</v>
      </c>
      <c r="E23">
        <v>400462</v>
      </c>
    </row>
    <row r="24" spans="1:5" x14ac:dyDescent="0.35">
      <c r="A24" s="4">
        <v>2017</v>
      </c>
      <c r="B24">
        <v>0.76157399999999997</v>
      </c>
      <c r="C24">
        <v>14.866866</v>
      </c>
      <c r="D24">
        <v>340.78654799999998</v>
      </c>
      <c r="E24">
        <v>410364</v>
      </c>
    </row>
    <row r="25" spans="1:5" x14ac:dyDescent="0.35">
      <c r="A25" s="4">
        <v>2018</v>
      </c>
      <c r="B25">
        <v>0.65215999999999996</v>
      </c>
      <c r="C25">
        <v>13.588863999999999</v>
      </c>
      <c r="D25">
        <v>212.02088800000001</v>
      </c>
      <c r="E25">
        <v>485672.51</v>
      </c>
    </row>
    <row r="26" spans="1:5" x14ac:dyDescent="0.35">
      <c r="A26" s="4">
        <v>2019</v>
      </c>
      <c r="B26">
        <v>0.49979400000000002</v>
      </c>
      <c r="C26">
        <v>12.962618000000001</v>
      </c>
      <c r="D26">
        <v>153.31496000000001</v>
      </c>
      <c r="E26">
        <v>530704.97</v>
      </c>
    </row>
    <row r="27" spans="1:5" x14ac:dyDescent="0.35">
      <c r="A27" s="4">
        <v>2020</v>
      </c>
      <c r="B27">
        <v>0.755128666666666</v>
      </c>
      <c r="C27">
        <v>12.742388</v>
      </c>
      <c r="D27">
        <v>406.634072</v>
      </c>
      <c r="E27">
        <v>761883.04</v>
      </c>
    </row>
    <row r="28" spans="1:5" x14ac:dyDescent="0.35">
      <c r="A28" s="4">
        <v>2021</v>
      </c>
      <c r="B28">
        <v>0.64148533333333302</v>
      </c>
      <c r="C28">
        <v>14.418462</v>
      </c>
      <c r="D28">
        <v>361.99408799999998</v>
      </c>
      <c r="E28">
        <v>754620.83</v>
      </c>
    </row>
    <row r="29" spans="1:5" x14ac:dyDescent="0.35">
      <c r="A29" s="4">
        <v>2022</v>
      </c>
      <c r="B29">
        <v>0.84224200000000005</v>
      </c>
      <c r="C29">
        <v>16.346847999999898</v>
      </c>
      <c r="D29">
        <v>408.08299799999998</v>
      </c>
      <c r="E29">
        <v>787750</v>
      </c>
    </row>
    <row r="30" spans="1:5" x14ac:dyDescent="0.35">
      <c r="A30" s="4">
        <v>2023</v>
      </c>
      <c r="B30">
        <v>0.76757599999999904</v>
      </c>
      <c r="C30">
        <v>15.48687</v>
      </c>
      <c r="D30">
        <v>269.10771999999997</v>
      </c>
      <c r="E30">
        <v>929000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EE79-33F3-4C2D-BCEE-3FC7DDBCEEFD}">
  <dimension ref="A1:E5"/>
  <sheetViews>
    <sheetView workbookViewId="0">
      <selection activeCell="E2" sqref="E2"/>
    </sheetView>
  </sheetViews>
  <sheetFormatPr defaultRowHeight="14.5" x14ac:dyDescent="0.35"/>
  <cols>
    <col min="2" max="2" width="14.26953125" customWidth="1"/>
    <col min="3" max="3" width="15.6328125" customWidth="1"/>
    <col min="4" max="4" width="18.81640625" customWidth="1"/>
    <col min="5" max="5" width="12.26953125" customWidth="1"/>
  </cols>
  <sheetData>
    <row r="1" spans="1:5" x14ac:dyDescent="0.35">
      <c r="A1" s="6"/>
      <c r="B1" s="6" t="s">
        <v>68</v>
      </c>
      <c r="C1" s="6" t="s">
        <v>76</v>
      </c>
      <c r="D1" s="6" t="s">
        <v>77</v>
      </c>
      <c r="E1" s="6" t="s">
        <v>1</v>
      </c>
    </row>
    <row r="2" spans="1:5" x14ac:dyDescent="0.35">
      <c r="A2" t="s">
        <v>68</v>
      </c>
      <c r="B2" s="7">
        <v>1</v>
      </c>
      <c r="C2" s="7"/>
      <c r="D2" s="7"/>
      <c r="E2" s="7"/>
    </row>
    <row r="3" spans="1:5" x14ac:dyDescent="0.35">
      <c r="A3" t="s">
        <v>76</v>
      </c>
      <c r="B3" s="7">
        <v>0.69783060387735685</v>
      </c>
      <c r="C3" s="7">
        <v>1</v>
      </c>
      <c r="D3" s="7"/>
      <c r="E3" s="7"/>
    </row>
    <row r="4" spans="1:5" x14ac:dyDescent="0.35">
      <c r="A4" t="s">
        <v>77</v>
      </c>
      <c r="B4" s="7">
        <v>0.58541117066928505</v>
      </c>
      <c r="C4" s="7">
        <v>0.41051743000318425</v>
      </c>
      <c r="D4" s="7">
        <v>1</v>
      </c>
      <c r="E4" s="7"/>
    </row>
    <row r="5" spans="1:5" ht="15" thickBot="1" x14ac:dyDescent="0.4">
      <c r="A5" s="5" t="s">
        <v>1</v>
      </c>
      <c r="B5" s="8">
        <v>0.32745879459276445</v>
      </c>
      <c r="C5" s="8">
        <v>0.3871366408136403</v>
      </c>
      <c r="D5" s="8">
        <v>0.60134230107279363</v>
      </c>
      <c r="E5" s="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D7A7-3938-4A30-A870-9C9709BDBB8D}">
  <dimension ref="A1:BN147"/>
  <sheetViews>
    <sheetView tabSelected="1" topLeftCell="AW1" workbookViewId="0">
      <selection activeCell="BN2" sqref="BN2"/>
    </sheetView>
  </sheetViews>
  <sheetFormatPr defaultRowHeight="14.5" x14ac:dyDescent="0.35"/>
  <cols>
    <col min="2" max="2" width="8.7265625" customWidth="1"/>
    <col min="64" max="65" width="10.81640625" customWidth="1"/>
    <col min="66" max="66" width="12.08984375" customWidth="1"/>
  </cols>
  <sheetData>
    <row r="1" spans="1:66" x14ac:dyDescent="0.35">
      <c r="R1" t="str">
        <f>LEFT(R2,FIND("_",R2)-1)</f>
        <v>Corn</v>
      </c>
      <c r="S1" t="str">
        <f t="shared" ref="S1" si="0">LEFT(S2,FIND("_",S2)-1)</f>
        <v>Cotton</v>
      </c>
      <c r="T1" t="str">
        <f t="shared" ref="T1" si="1">LEFT(T2,FIND("_",T2)-1)</f>
        <v>Millet</v>
      </c>
      <c r="U1" t="str">
        <f t="shared" ref="U1" si="2">LEFT(U2,FIND("_",U2)-1)</f>
        <v>Peanut</v>
      </c>
      <c r="V1" t="str">
        <f t="shared" ref="V1" si="3">LEFT(V2,FIND("_",V2)-1)</f>
        <v>Rice</v>
      </c>
      <c r="W1" t="str">
        <f t="shared" ref="W1" si="4">LEFT(W2,FIND("_",W2)-1)</f>
        <v>Sorghum</v>
      </c>
      <c r="AL1" t="str">
        <f>LEFT(AL2,FIND("_",AL2)-1)</f>
        <v>Corn</v>
      </c>
      <c r="AM1" t="str">
        <f t="shared" ref="AM1" si="5">LEFT(AM2,FIND("_",AM2)-1)</f>
        <v>Cotton</v>
      </c>
      <c r="AN1" t="str">
        <f t="shared" ref="AN1" si="6">LEFT(AN2,FIND("_",AN2)-1)</f>
        <v>Millet</v>
      </c>
      <c r="AO1" t="str">
        <f t="shared" ref="AO1" si="7">LEFT(AO2,FIND("_",AO2)-1)</f>
        <v>Peanut</v>
      </c>
      <c r="AP1" t="str">
        <f t="shared" ref="AP1" si="8">LEFT(AP2,FIND("_",AP2)-1)</f>
        <v>Rice</v>
      </c>
      <c r="AQ1" t="str">
        <f t="shared" ref="AQ1" si="9">LEFT(AQ2,FIND("_",AQ2)-1)</f>
        <v>Sorghum</v>
      </c>
      <c r="BF1" t="str">
        <f>LEFT(BF2,FIND("_",BF2)-1)</f>
        <v>Corn</v>
      </c>
      <c r="BG1" t="str">
        <f t="shared" ref="BG1:BK1" si="10">LEFT(BG2,FIND("_",BG2)-1)</f>
        <v>Cotton</v>
      </c>
      <c r="BH1" t="str">
        <f t="shared" si="10"/>
        <v>Millet</v>
      </c>
      <c r="BI1" t="str">
        <f t="shared" si="10"/>
        <v>Peanut</v>
      </c>
      <c r="BJ1" t="str">
        <f t="shared" si="10"/>
        <v>Rice</v>
      </c>
      <c r="BK1" t="str">
        <f t="shared" si="10"/>
        <v>Sorghum</v>
      </c>
    </row>
    <row r="2" spans="1:6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s="1" t="s">
        <v>68</v>
      </c>
      <c r="BM2" s="1" t="s">
        <v>69</v>
      </c>
      <c r="BN2" s="1" t="s">
        <v>70</v>
      </c>
    </row>
    <row r="3" spans="1:66" x14ac:dyDescent="0.35">
      <c r="A3" t="s">
        <v>63</v>
      </c>
      <c r="B3">
        <v>790617</v>
      </c>
      <c r="C3">
        <v>1995</v>
      </c>
      <c r="D3">
        <v>0.34433333333333299</v>
      </c>
      <c r="E3">
        <v>0.31133333333333302</v>
      </c>
      <c r="F3">
        <v>0.38033333333333302</v>
      </c>
      <c r="G3">
        <v>0.35899999999999999</v>
      </c>
      <c r="H3">
        <v>0.28699999999999998</v>
      </c>
      <c r="I3">
        <v>0.43233333333333301</v>
      </c>
      <c r="J3">
        <v>0.45166666666666599</v>
      </c>
      <c r="K3">
        <v>0.352333333333333</v>
      </c>
      <c r="L3">
        <v>0.38633333333333297</v>
      </c>
      <c r="M3">
        <v>0.42499999999999999</v>
      </c>
      <c r="N3">
        <v>0.35266666666666602</v>
      </c>
      <c r="O3">
        <v>0.35199999999999998</v>
      </c>
      <c r="P3">
        <v>0.41299999999999998</v>
      </c>
      <c r="Q3">
        <v>0.46899999999999997</v>
      </c>
      <c r="R3">
        <v>0.42393866666666602</v>
      </c>
      <c r="S3">
        <v>0.41832000000000003</v>
      </c>
      <c r="T3">
        <v>0.35715222199366597</v>
      </c>
      <c r="U3">
        <v>0.37275190553933302</v>
      </c>
      <c r="V3">
        <v>0.46910666666666601</v>
      </c>
      <c r="W3">
        <v>0.42485066666666599</v>
      </c>
      <c r="X3">
        <v>14.901</v>
      </c>
      <c r="Y3">
        <v>15.151</v>
      </c>
      <c r="Z3">
        <v>15.727</v>
      </c>
      <c r="AA3">
        <v>16.568999999999999</v>
      </c>
      <c r="AB3">
        <v>16.288</v>
      </c>
      <c r="AC3">
        <v>17.882999999999999</v>
      </c>
      <c r="AD3">
        <v>19.716000000000001</v>
      </c>
      <c r="AE3">
        <v>15.694000000000001</v>
      </c>
      <c r="AF3">
        <v>16.427</v>
      </c>
      <c r="AG3">
        <v>14.907</v>
      </c>
      <c r="AH3">
        <v>18.829999999999998</v>
      </c>
      <c r="AI3">
        <v>17.207000000000001</v>
      </c>
      <c r="AJ3">
        <v>15.249000000000001</v>
      </c>
      <c r="AK3">
        <v>16.978000000000002</v>
      </c>
      <c r="AL3">
        <v>19.702117999999999</v>
      </c>
      <c r="AM3">
        <v>18.778279999999999</v>
      </c>
      <c r="AN3">
        <v>16.519206657655999</v>
      </c>
      <c r="AO3">
        <v>16.820402890021999</v>
      </c>
      <c r="AP3">
        <v>20.05424</v>
      </c>
      <c r="AQ3">
        <v>19.575122</v>
      </c>
      <c r="AR3">
        <v>430.125</v>
      </c>
      <c r="AS3">
        <v>403.53300000000002</v>
      </c>
      <c r="AT3">
        <v>416.41199999999998</v>
      </c>
      <c r="AU3">
        <v>282.37799999999999</v>
      </c>
      <c r="AV3">
        <v>335.38799999999998</v>
      </c>
      <c r="AW3">
        <v>687.96900000000005</v>
      </c>
      <c r="AX3">
        <v>478.97899999999998</v>
      </c>
      <c r="AY3">
        <v>334.83300000000003</v>
      </c>
      <c r="AZ3">
        <v>277.29500000000002</v>
      </c>
      <c r="BA3">
        <v>216.24199999999999</v>
      </c>
      <c r="BB3">
        <v>528.93399999999997</v>
      </c>
      <c r="BC3">
        <v>356.959</v>
      </c>
      <c r="BD3">
        <v>417.61900000000003</v>
      </c>
      <c r="BE3">
        <v>698.22900000000004</v>
      </c>
      <c r="BF3">
        <v>487.682186</v>
      </c>
      <c r="BG3">
        <v>450.24698999999998</v>
      </c>
      <c r="BH3">
        <v>376.57875085446</v>
      </c>
      <c r="BI3">
        <v>379.949303783522</v>
      </c>
      <c r="BJ3">
        <v>519.41048499999999</v>
      </c>
      <c r="BK3">
        <v>451.36351200000001</v>
      </c>
      <c r="BL3" cm="1">
        <f t="array" ref="BL3">INDEX(R3:W3,0,MATCH($A3,$R$1:$W$1,0))</f>
        <v>0.37275190553933302</v>
      </c>
      <c r="BM3" cm="1">
        <f t="array" ref="BM3">INDEX(AL3:AQ3,0,MATCH($A3,$R$1:$W$1,0))</f>
        <v>16.820402890021999</v>
      </c>
      <c r="BN3" cm="1">
        <f t="array" ref="BN3">INDEX(BF3:BK3,0,MATCH($A3,$R$1:$W$1,0))</f>
        <v>379.949303783522</v>
      </c>
    </row>
    <row r="4" spans="1:66" x14ac:dyDescent="0.35">
      <c r="A4" t="s">
        <v>64</v>
      </c>
      <c r="B4">
        <v>106509</v>
      </c>
      <c r="C4">
        <v>1995</v>
      </c>
      <c r="D4">
        <v>0.34433333333333299</v>
      </c>
      <c r="E4">
        <v>0.31133333333333302</v>
      </c>
      <c r="F4">
        <v>0.38033333333333302</v>
      </c>
      <c r="G4">
        <v>0.35899999999999999</v>
      </c>
      <c r="H4">
        <v>0.28699999999999998</v>
      </c>
      <c r="I4">
        <v>0.43233333333333301</v>
      </c>
      <c r="J4">
        <v>0.45166666666666599</v>
      </c>
      <c r="K4">
        <v>0.352333333333333</v>
      </c>
      <c r="L4">
        <v>0.38633333333333297</v>
      </c>
      <c r="M4">
        <v>0.42499999999999999</v>
      </c>
      <c r="N4">
        <v>0.35266666666666602</v>
      </c>
      <c r="O4">
        <v>0.35199999999999998</v>
      </c>
      <c r="P4">
        <v>0.41299999999999998</v>
      </c>
      <c r="Q4">
        <v>0.46899999999999997</v>
      </c>
      <c r="R4">
        <v>0.42393866666666602</v>
      </c>
      <c r="S4">
        <v>0.41832000000000003</v>
      </c>
      <c r="T4">
        <v>0.35715222199366597</v>
      </c>
      <c r="U4">
        <v>0.37275190553933302</v>
      </c>
      <c r="V4">
        <v>0.46910666666666601</v>
      </c>
      <c r="W4">
        <v>0.42485066666666599</v>
      </c>
      <c r="X4">
        <v>14.901</v>
      </c>
      <c r="Y4">
        <v>15.151</v>
      </c>
      <c r="Z4">
        <v>15.727</v>
      </c>
      <c r="AA4">
        <v>16.568999999999999</v>
      </c>
      <c r="AB4">
        <v>16.288</v>
      </c>
      <c r="AC4">
        <v>17.882999999999999</v>
      </c>
      <c r="AD4">
        <v>19.716000000000001</v>
      </c>
      <c r="AE4">
        <v>15.694000000000001</v>
      </c>
      <c r="AF4">
        <v>16.427</v>
      </c>
      <c r="AG4">
        <v>14.907</v>
      </c>
      <c r="AH4">
        <v>18.829999999999998</v>
      </c>
      <c r="AI4">
        <v>17.207000000000001</v>
      </c>
      <c r="AJ4">
        <v>15.249000000000001</v>
      </c>
      <c r="AK4">
        <v>16.978000000000002</v>
      </c>
      <c r="AL4">
        <v>19.702117999999999</v>
      </c>
      <c r="AM4">
        <v>18.778279999999999</v>
      </c>
      <c r="AN4">
        <v>16.519206657655999</v>
      </c>
      <c r="AO4">
        <v>16.820402890021999</v>
      </c>
      <c r="AP4">
        <v>20.05424</v>
      </c>
      <c r="AQ4">
        <v>19.575122</v>
      </c>
      <c r="AR4">
        <v>430.125</v>
      </c>
      <c r="AS4">
        <v>403.53300000000002</v>
      </c>
      <c r="AT4">
        <v>416.41199999999998</v>
      </c>
      <c r="AU4">
        <v>282.37799999999999</v>
      </c>
      <c r="AV4">
        <v>335.38799999999998</v>
      </c>
      <c r="AW4">
        <v>687.96900000000005</v>
      </c>
      <c r="AX4">
        <v>478.97899999999998</v>
      </c>
      <c r="AY4">
        <v>334.83300000000003</v>
      </c>
      <c r="AZ4">
        <v>277.29500000000002</v>
      </c>
      <c r="BA4">
        <v>216.24199999999999</v>
      </c>
      <c r="BB4">
        <v>528.93399999999997</v>
      </c>
      <c r="BC4">
        <v>356.959</v>
      </c>
      <c r="BD4">
        <v>417.61900000000003</v>
      </c>
      <c r="BE4">
        <v>698.22900000000004</v>
      </c>
      <c r="BF4">
        <v>487.682186</v>
      </c>
      <c r="BG4">
        <v>450.24698999999998</v>
      </c>
      <c r="BH4">
        <v>376.57875085446</v>
      </c>
      <c r="BI4">
        <v>379.949303783522</v>
      </c>
      <c r="BJ4">
        <v>519.41048499999999</v>
      </c>
      <c r="BK4">
        <v>451.36351200000001</v>
      </c>
      <c r="BL4" cm="1">
        <f t="array" ref="BL4">INDEX(R4:W4,0,MATCH($A4,$R$1:$W$1,0))</f>
        <v>0.42393866666666602</v>
      </c>
      <c r="BM4" cm="1">
        <f t="array" ref="BM4">INDEX(AL4:AQ4,0,MATCH($A4,$R$1:$W$1,0))</f>
        <v>19.702117999999999</v>
      </c>
      <c r="BN4" cm="1">
        <f t="array" ref="BN4">INDEX(BF4:BK4,0,MATCH($A4,$R$1:$W$1,0))</f>
        <v>487.682186</v>
      </c>
    </row>
    <row r="5" spans="1:66" x14ac:dyDescent="0.35">
      <c r="A5" t="s">
        <v>65</v>
      </c>
      <c r="B5">
        <v>794133</v>
      </c>
      <c r="C5">
        <v>1995</v>
      </c>
      <c r="D5">
        <v>0.34433333333333299</v>
      </c>
      <c r="E5">
        <v>0.31133333333333302</v>
      </c>
      <c r="F5">
        <v>0.38033333333333302</v>
      </c>
      <c r="G5">
        <v>0.35899999999999999</v>
      </c>
      <c r="H5">
        <v>0.28699999999999998</v>
      </c>
      <c r="I5">
        <v>0.43233333333333301</v>
      </c>
      <c r="J5">
        <v>0.45166666666666599</v>
      </c>
      <c r="K5">
        <v>0.352333333333333</v>
      </c>
      <c r="L5">
        <v>0.38633333333333297</v>
      </c>
      <c r="M5">
        <v>0.42499999999999999</v>
      </c>
      <c r="N5">
        <v>0.35266666666666602</v>
      </c>
      <c r="O5">
        <v>0.35199999999999998</v>
      </c>
      <c r="P5">
        <v>0.41299999999999998</v>
      </c>
      <c r="Q5">
        <v>0.46899999999999997</v>
      </c>
      <c r="R5">
        <v>0.42393866666666602</v>
      </c>
      <c r="S5">
        <v>0.41832000000000003</v>
      </c>
      <c r="T5">
        <v>0.35715222199366597</v>
      </c>
      <c r="U5">
        <v>0.37275190553933302</v>
      </c>
      <c r="V5">
        <v>0.46910666666666601</v>
      </c>
      <c r="W5">
        <v>0.42485066666666599</v>
      </c>
      <c r="X5">
        <v>14.901</v>
      </c>
      <c r="Y5">
        <v>15.151</v>
      </c>
      <c r="Z5">
        <v>15.727</v>
      </c>
      <c r="AA5">
        <v>16.568999999999999</v>
      </c>
      <c r="AB5">
        <v>16.288</v>
      </c>
      <c r="AC5">
        <v>17.882999999999999</v>
      </c>
      <c r="AD5">
        <v>19.716000000000001</v>
      </c>
      <c r="AE5">
        <v>15.694000000000001</v>
      </c>
      <c r="AF5">
        <v>16.427</v>
      </c>
      <c r="AG5">
        <v>14.907</v>
      </c>
      <c r="AH5">
        <v>18.829999999999998</v>
      </c>
      <c r="AI5">
        <v>17.207000000000001</v>
      </c>
      <c r="AJ5">
        <v>15.249000000000001</v>
      </c>
      <c r="AK5">
        <v>16.978000000000002</v>
      </c>
      <c r="AL5">
        <v>19.702117999999999</v>
      </c>
      <c r="AM5">
        <v>18.778279999999999</v>
      </c>
      <c r="AN5">
        <v>16.519206657655999</v>
      </c>
      <c r="AO5">
        <v>16.820402890021999</v>
      </c>
      <c r="AP5">
        <v>20.05424</v>
      </c>
      <c r="AQ5">
        <v>19.575122</v>
      </c>
      <c r="AR5">
        <v>430.125</v>
      </c>
      <c r="AS5">
        <v>403.53300000000002</v>
      </c>
      <c r="AT5">
        <v>416.41199999999998</v>
      </c>
      <c r="AU5">
        <v>282.37799999999999</v>
      </c>
      <c r="AV5">
        <v>335.38799999999998</v>
      </c>
      <c r="AW5">
        <v>687.96900000000005</v>
      </c>
      <c r="AX5">
        <v>478.97899999999998</v>
      </c>
      <c r="AY5">
        <v>334.83300000000003</v>
      </c>
      <c r="AZ5">
        <v>277.29500000000002</v>
      </c>
      <c r="BA5">
        <v>216.24199999999999</v>
      </c>
      <c r="BB5">
        <v>528.93399999999997</v>
      </c>
      <c r="BC5">
        <v>356.959</v>
      </c>
      <c r="BD5">
        <v>417.61900000000003</v>
      </c>
      <c r="BE5">
        <v>698.22900000000004</v>
      </c>
      <c r="BF5">
        <v>487.682186</v>
      </c>
      <c r="BG5">
        <v>450.24698999999998</v>
      </c>
      <c r="BH5">
        <v>376.57875085446</v>
      </c>
      <c r="BI5">
        <v>379.949303783522</v>
      </c>
      <c r="BJ5">
        <v>519.41048499999999</v>
      </c>
      <c r="BK5">
        <v>451.36351200000001</v>
      </c>
      <c r="BL5" cm="1">
        <f t="array" ref="BL5">INDEX(R5:W5,0,MATCH($A5,$R$1:$W$1,0))</f>
        <v>0.35715222199366597</v>
      </c>
      <c r="BM5" cm="1">
        <f t="array" ref="BM5">INDEX(AL5:AQ5,0,MATCH($A5,$R$1:$W$1,0))</f>
        <v>16.519206657655999</v>
      </c>
      <c r="BN5" cm="1">
        <f t="array" ref="BN5">INDEX(BF5:BK5,0,MATCH($A5,$R$1:$W$1,0))</f>
        <v>376.57875085446</v>
      </c>
    </row>
    <row r="6" spans="1:66" x14ac:dyDescent="0.35">
      <c r="A6" t="s">
        <v>66</v>
      </c>
      <c r="B6">
        <v>155152</v>
      </c>
      <c r="C6">
        <v>1995</v>
      </c>
      <c r="D6">
        <v>0.34433333333333299</v>
      </c>
      <c r="E6">
        <v>0.31133333333333302</v>
      </c>
      <c r="F6">
        <v>0.38033333333333302</v>
      </c>
      <c r="G6">
        <v>0.35899999999999999</v>
      </c>
      <c r="H6">
        <v>0.28699999999999998</v>
      </c>
      <c r="I6">
        <v>0.43233333333333301</v>
      </c>
      <c r="J6">
        <v>0.45166666666666599</v>
      </c>
      <c r="K6">
        <v>0.352333333333333</v>
      </c>
      <c r="L6">
        <v>0.38633333333333297</v>
      </c>
      <c r="M6">
        <v>0.42499999999999999</v>
      </c>
      <c r="N6">
        <v>0.35266666666666602</v>
      </c>
      <c r="O6">
        <v>0.35199999999999998</v>
      </c>
      <c r="P6">
        <v>0.41299999999999998</v>
      </c>
      <c r="Q6">
        <v>0.46899999999999997</v>
      </c>
      <c r="R6">
        <v>0.42393866666666602</v>
      </c>
      <c r="S6">
        <v>0.41832000000000003</v>
      </c>
      <c r="T6">
        <v>0.35715222199366597</v>
      </c>
      <c r="U6">
        <v>0.37275190553933302</v>
      </c>
      <c r="V6">
        <v>0.46910666666666601</v>
      </c>
      <c r="W6">
        <v>0.42485066666666599</v>
      </c>
      <c r="X6">
        <v>14.901</v>
      </c>
      <c r="Y6">
        <v>15.151</v>
      </c>
      <c r="Z6">
        <v>15.727</v>
      </c>
      <c r="AA6">
        <v>16.568999999999999</v>
      </c>
      <c r="AB6">
        <v>16.288</v>
      </c>
      <c r="AC6">
        <v>17.882999999999999</v>
      </c>
      <c r="AD6">
        <v>19.716000000000001</v>
      </c>
      <c r="AE6">
        <v>15.694000000000001</v>
      </c>
      <c r="AF6">
        <v>16.427</v>
      </c>
      <c r="AG6">
        <v>14.907</v>
      </c>
      <c r="AH6">
        <v>18.829999999999998</v>
      </c>
      <c r="AI6">
        <v>17.207000000000001</v>
      </c>
      <c r="AJ6">
        <v>15.249000000000001</v>
      </c>
      <c r="AK6">
        <v>16.978000000000002</v>
      </c>
      <c r="AL6">
        <v>19.702117999999999</v>
      </c>
      <c r="AM6">
        <v>18.778279999999999</v>
      </c>
      <c r="AN6">
        <v>16.519206657655999</v>
      </c>
      <c r="AO6">
        <v>16.820402890021999</v>
      </c>
      <c r="AP6">
        <v>20.05424</v>
      </c>
      <c r="AQ6">
        <v>19.575122</v>
      </c>
      <c r="AR6">
        <v>430.125</v>
      </c>
      <c r="AS6">
        <v>403.53300000000002</v>
      </c>
      <c r="AT6">
        <v>416.41199999999998</v>
      </c>
      <c r="AU6">
        <v>282.37799999999999</v>
      </c>
      <c r="AV6">
        <v>335.38799999999998</v>
      </c>
      <c r="AW6">
        <v>687.96900000000005</v>
      </c>
      <c r="AX6">
        <v>478.97899999999998</v>
      </c>
      <c r="AY6">
        <v>334.83300000000003</v>
      </c>
      <c r="AZ6">
        <v>277.29500000000002</v>
      </c>
      <c r="BA6">
        <v>216.24199999999999</v>
      </c>
      <c r="BB6">
        <v>528.93399999999997</v>
      </c>
      <c r="BC6">
        <v>356.959</v>
      </c>
      <c r="BD6">
        <v>417.61900000000003</v>
      </c>
      <c r="BE6">
        <v>698.22900000000004</v>
      </c>
      <c r="BF6">
        <v>487.682186</v>
      </c>
      <c r="BG6">
        <v>450.24698999999998</v>
      </c>
      <c r="BH6">
        <v>376.57875085446</v>
      </c>
      <c r="BI6">
        <v>379.949303783522</v>
      </c>
      <c r="BJ6">
        <v>519.41048499999999</v>
      </c>
      <c r="BK6">
        <v>451.36351200000001</v>
      </c>
      <c r="BL6" cm="1">
        <f t="array" ref="BL6">INDEX(R6:W6,0,MATCH($A6,$R$1:$W$1,0))</f>
        <v>0.46910666666666601</v>
      </c>
      <c r="BM6" cm="1">
        <f t="array" ref="BM6">INDEX(AL6:AQ6,0,MATCH($A6,$R$1:$W$1,0))</f>
        <v>20.05424</v>
      </c>
      <c r="BN6" cm="1">
        <f t="array" ref="BN6">INDEX(BF6:BK6,0,MATCH($A6,$R$1:$W$1,0))</f>
        <v>519.41048499999999</v>
      </c>
    </row>
    <row r="7" spans="1:66" x14ac:dyDescent="0.35">
      <c r="A7" t="s">
        <v>67</v>
      </c>
      <c r="B7">
        <v>127328</v>
      </c>
      <c r="C7">
        <v>1995</v>
      </c>
      <c r="D7">
        <v>0.34433333333333299</v>
      </c>
      <c r="E7">
        <v>0.31133333333333302</v>
      </c>
      <c r="F7">
        <v>0.38033333333333302</v>
      </c>
      <c r="G7">
        <v>0.35899999999999999</v>
      </c>
      <c r="H7">
        <v>0.28699999999999998</v>
      </c>
      <c r="I7">
        <v>0.43233333333333301</v>
      </c>
      <c r="J7">
        <v>0.45166666666666599</v>
      </c>
      <c r="K7">
        <v>0.352333333333333</v>
      </c>
      <c r="L7">
        <v>0.38633333333333297</v>
      </c>
      <c r="M7">
        <v>0.42499999999999999</v>
      </c>
      <c r="N7">
        <v>0.35266666666666602</v>
      </c>
      <c r="O7">
        <v>0.35199999999999998</v>
      </c>
      <c r="P7">
        <v>0.41299999999999998</v>
      </c>
      <c r="Q7">
        <v>0.46899999999999997</v>
      </c>
      <c r="R7">
        <v>0.42393866666666602</v>
      </c>
      <c r="S7">
        <v>0.41832000000000003</v>
      </c>
      <c r="T7">
        <v>0.35715222199366597</v>
      </c>
      <c r="U7">
        <v>0.37275190553933302</v>
      </c>
      <c r="V7">
        <v>0.46910666666666601</v>
      </c>
      <c r="W7">
        <v>0.42485066666666599</v>
      </c>
      <c r="X7">
        <v>14.901</v>
      </c>
      <c r="Y7">
        <v>15.151</v>
      </c>
      <c r="Z7">
        <v>15.727</v>
      </c>
      <c r="AA7">
        <v>16.568999999999999</v>
      </c>
      <c r="AB7">
        <v>16.288</v>
      </c>
      <c r="AC7">
        <v>17.882999999999999</v>
      </c>
      <c r="AD7">
        <v>19.716000000000001</v>
      </c>
      <c r="AE7">
        <v>15.694000000000001</v>
      </c>
      <c r="AF7">
        <v>16.427</v>
      </c>
      <c r="AG7">
        <v>14.907</v>
      </c>
      <c r="AH7">
        <v>18.829999999999998</v>
      </c>
      <c r="AI7">
        <v>17.207000000000001</v>
      </c>
      <c r="AJ7">
        <v>15.249000000000001</v>
      </c>
      <c r="AK7">
        <v>16.978000000000002</v>
      </c>
      <c r="AL7">
        <v>19.702117999999999</v>
      </c>
      <c r="AM7">
        <v>18.778279999999999</v>
      </c>
      <c r="AN7">
        <v>16.519206657655999</v>
      </c>
      <c r="AO7">
        <v>16.820402890021999</v>
      </c>
      <c r="AP7">
        <v>20.05424</v>
      </c>
      <c r="AQ7">
        <v>19.575122</v>
      </c>
      <c r="AR7">
        <v>430.125</v>
      </c>
      <c r="AS7">
        <v>403.53300000000002</v>
      </c>
      <c r="AT7">
        <v>416.41199999999998</v>
      </c>
      <c r="AU7">
        <v>282.37799999999999</v>
      </c>
      <c r="AV7">
        <v>335.38799999999998</v>
      </c>
      <c r="AW7">
        <v>687.96900000000005</v>
      </c>
      <c r="AX7">
        <v>478.97899999999998</v>
      </c>
      <c r="AY7">
        <v>334.83300000000003</v>
      </c>
      <c r="AZ7">
        <v>277.29500000000002</v>
      </c>
      <c r="BA7">
        <v>216.24199999999999</v>
      </c>
      <c r="BB7">
        <v>528.93399999999997</v>
      </c>
      <c r="BC7">
        <v>356.959</v>
      </c>
      <c r="BD7">
        <v>417.61900000000003</v>
      </c>
      <c r="BE7">
        <v>698.22900000000004</v>
      </c>
      <c r="BF7">
        <v>487.682186</v>
      </c>
      <c r="BG7">
        <v>450.24698999999998</v>
      </c>
      <c r="BH7">
        <v>376.57875085446</v>
      </c>
      <c r="BI7">
        <v>379.949303783522</v>
      </c>
      <c r="BJ7">
        <v>519.41048499999999</v>
      </c>
      <c r="BK7">
        <v>451.36351200000001</v>
      </c>
      <c r="BL7" cm="1">
        <f t="array" ref="BL7">INDEX(R7:W7,0,MATCH($A7,$R$1:$W$1,0))</f>
        <v>0.42485066666666599</v>
      </c>
      <c r="BM7" cm="1">
        <f t="array" ref="BM7">INDEX(AL7:AQ7,0,MATCH($A7,$R$1:$W$1,0))</f>
        <v>19.575122</v>
      </c>
      <c r="BN7" cm="1">
        <f t="array" ref="BN7">INDEX(BF7:BK7,0,MATCH($A7,$R$1:$W$1,0))</f>
        <v>451.36351200000001</v>
      </c>
    </row>
    <row r="8" spans="1:66" x14ac:dyDescent="0.35">
      <c r="A8" t="s">
        <v>63</v>
      </c>
      <c r="B8">
        <v>646394</v>
      </c>
      <c r="C8">
        <v>1996</v>
      </c>
      <c r="D8">
        <v>0.41</v>
      </c>
      <c r="E8">
        <v>0.27400000000000002</v>
      </c>
      <c r="F8">
        <v>0.318</v>
      </c>
      <c r="G8">
        <v>0.329666666666666</v>
      </c>
      <c r="H8">
        <v>0.27099999999999902</v>
      </c>
      <c r="I8">
        <v>0.53466666666666596</v>
      </c>
      <c r="J8">
        <v>0.51666666666666605</v>
      </c>
      <c r="K8">
        <v>0.332666666666666</v>
      </c>
      <c r="L8">
        <v>0.32633333333333298</v>
      </c>
      <c r="M8">
        <v>0.394666666666666</v>
      </c>
      <c r="N8">
        <v>0.53700000000000003</v>
      </c>
      <c r="O8">
        <v>0.46500000000000002</v>
      </c>
      <c r="P8">
        <v>0.38333333333333303</v>
      </c>
      <c r="Q8">
        <v>0.452666666666666</v>
      </c>
      <c r="R8">
        <v>0.48239599999999999</v>
      </c>
      <c r="S8">
        <v>0.49322666666666598</v>
      </c>
      <c r="T8">
        <v>0.35745037013499997</v>
      </c>
      <c r="U8">
        <v>0.37437904845600001</v>
      </c>
      <c r="V8">
        <v>0.52412000000000003</v>
      </c>
      <c r="W8">
        <v>0.465231333333333</v>
      </c>
      <c r="X8">
        <v>12.946999999999999</v>
      </c>
      <c r="Y8">
        <v>10.823</v>
      </c>
      <c r="Z8">
        <v>12.172000000000001</v>
      </c>
      <c r="AA8">
        <v>13.108000000000001</v>
      </c>
      <c r="AB8">
        <v>12.141999999999999</v>
      </c>
      <c r="AC8">
        <v>17.803999999999998</v>
      </c>
      <c r="AD8">
        <v>16.814</v>
      </c>
      <c r="AE8">
        <v>12.532</v>
      </c>
      <c r="AF8">
        <v>12.492000000000001</v>
      </c>
      <c r="AG8">
        <v>10.816000000000001</v>
      </c>
      <c r="AH8">
        <v>15.064</v>
      </c>
      <c r="AI8">
        <v>15.739000000000001</v>
      </c>
      <c r="AJ8">
        <v>11.73</v>
      </c>
      <c r="AK8">
        <v>15.583</v>
      </c>
      <c r="AL8">
        <v>16.175509999999999</v>
      </c>
      <c r="AM8">
        <v>16.355129999999999</v>
      </c>
      <c r="AN8">
        <v>13.043089992262001</v>
      </c>
      <c r="AO8">
        <v>13.572360027294</v>
      </c>
      <c r="AP8">
        <v>16.465805</v>
      </c>
      <c r="AQ8">
        <v>16.108114</v>
      </c>
      <c r="AR8">
        <v>392.86</v>
      </c>
      <c r="AS8">
        <v>380.78</v>
      </c>
      <c r="AT8">
        <v>422.15</v>
      </c>
      <c r="AU8">
        <v>419.16500000000002</v>
      </c>
      <c r="AV8">
        <v>434.73500000000001</v>
      </c>
      <c r="AW8">
        <v>890.46600000000001</v>
      </c>
      <c r="AX8">
        <v>592.88099999999997</v>
      </c>
      <c r="AY8">
        <v>332.45400000000001</v>
      </c>
      <c r="AZ8">
        <v>320.553</v>
      </c>
      <c r="BA8">
        <v>240.63900000000001</v>
      </c>
      <c r="BB8">
        <v>718.80600000000004</v>
      </c>
      <c r="BC8">
        <v>450.95499999999998</v>
      </c>
      <c r="BD8">
        <v>392.541</v>
      </c>
      <c r="BE8">
        <v>773.94399999999996</v>
      </c>
      <c r="BF8">
        <v>596.226314</v>
      </c>
      <c r="BG8">
        <v>566.24658999999997</v>
      </c>
      <c r="BH8">
        <v>451.53479193128197</v>
      </c>
      <c r="BI8">
        <v>457.16332963372798</v>
      </c>
      <c r="BJ8">
        <v>627.46746499999995</v>
      </c>
      <c r="BK8">
        <v>565.11296200000004</v>
      </c>
      <c r="BL8" cm="1">
        <f t="array" ref="BL8">INDEX(R8:W8,0,MATCH($A8,$R$1:$W$1,0))</f>
        <v>0.37437904845600001</v>
      </c>
      <c r="BM8" cm="1">
        <f t="array" ref="BM8">INDEX(AL8:AQ8,0,MATCH($A8,$R$1:$W$1,0))</f>
        <v>13.572360027294</v>
      </c>
      <c r="BN8" cm="1">
        <f t="array" ref="BN8">INDEX(BF8:BK8,0,MATCH($A8,$R$1:$W$1,0))</f>
        <v>457.16332963372798</v>
      </c>
    </row>
    <row r="9" spans="1:66" x14ac:dyDescent="0.35">
      <c r="A9" t="s">
        <v>64</v>
      </c>
      <c r="B9">
        <v>88634</v>
      </c>
      <c r="C9">
        <v>1996</v>
      </c>
      <c r="D9">
        <v>0.41</v>
      </c>
      <c r="E9">
        <v>0.27400000000000002</v>
      </c>
      <c r="F9">
        <v>0.318</v>
      </c>
      <c r="G9">
        <v>0.329666666666666</v>
      </c>
      <c r="H9">
        <v>0.27099999999999902</v>
      </c>
      <c r="I9">
        <v>0.53466666666666596</v>
      </c>
      <c r="J9">
        <v>0.51666666666666605</v>
      </c>
      <c r="K9">
        <v>0.332666666666666</v>
      </c>
      <c r="L9">
        <v>0.32633333333333298</v>
      </c>
      <c r="M9">
        <v>0.394666666666666</v>
      </c>
      <c r="N9">
        <v>0.53700000000000003</v>
      </c>
      <c r="O9">
        <v>0.46500000000000002</v>
      </c>
      <c r="P9">
        <v>0.38333333333333303</v>
      </c>
      <c r="Q9">
        <v>0.452666666666666</v>
      </c>
      <c r="R9">
        <v>0.48239599999999999</v>
      </c>
      <c r="S9">
        <v>0.49322666666666598</v>
      </c>
      <c r="T9">
        <v>0.35745037013499997</v>
      </c>
      <c r="U9">
        <v>0.37437904845600001</v>
      </c>
      <c r="V9">
        <v>0.52412000000000003</v>
      </c>
      <c r="W9">
        <v>0.465231333333333</v>
      </c>
      <c r="X9">
        <v>12.946999999999999</v>
      </c>
      <c r="Y9">
        <v>10.823</v>
      </c>
      <c r="Z9">
        <v>12.172000000000001</v>
      </c>
      <c r="AA9">
        <v>13.108000000000001</v>
      </c>
      <c r="AB9">
        <v>12.141999999999999</v>
      </c>
      <c r="AC9">
        <v>17.803999999999998</v>
      </c>
      <c r="AD9">
        <v>16.814</v>
      </c>
      <c r="AE9">
        <v>12.532</v>
      </c>
      <c r="AF9">
        <v>12.492000000000001</v>
      </c>
      <c r="AG9">
        <v>10.816000000000001</v>
      </c>
      <c r="AH9">
        <v>15.064</v>
      </c>
      <c r="AI9">
        <v>15.739000000000001</v>
      </c>
      <c r="AJ9">
        <v>11.73</v>
      </c>
      <c r="AK9">
        <v>15.583</v>
      </c>
      <c r="AL9">
        <v>16.175509999999999</v>
      </c>
      <c r="AM9">
        <v>16.355129999999999</v>
      </c>
      <c r="AN9">
        <v>13.043089992262001</v>
      </c>
      <c r="AO9">
        <v>13.572360027294</v>
      </c>
      <c r="AP9">
        <v>16.465805</v>
      </c>
      <c r="AQ9">
        <v>16.108114</v>
      </c>
      <c r="AR9">
        <v>392.86</v>
      </c>
      <c r="AS9">
        <v>380.78</v>
      </c>
      <c r="AT9">
        <v>422.15</v>
      </c>
      <c r="AU9">
        <v>419.16500000000002</v>
      </c>
      <c r="AV9">
        <v>434.73500000000001</v>
      </c>
      <c r="AW9">
        <v>890.46600000000001</v>
      </c>
      <c r="AX9">
        <v>592.88099999999997</v>
      </c>
      <c r="AY9">
        <v>332.45400000000001</v>
      </c>
      <c r="AZ9">
        <v>320.553</v>
      </c>
      <c r="BA9">
        <v>240.63900000000001</v>
      </c>
      <c r="BB9">
        <v>718.80600000000004</v>
      </c>
      <c r="BC9">
        <v>450.95499999999998</v>
      </c>
      <c r="BD9">
        <v>392.541</v>
      </c>
      <c r="BE9">
        <v>773.94399999999996</v>
      </c>
      <c r="BF9">
        <v>596.226314</v>
      </c>
      <c r="BG9">
        <v>566.24658999999997</v>
      </c>
      <c r="BH9">
        <v>451.53479193128197</v>
      </c>
      <c r="BI9">
        <v>457.16332963372798</v>
      </c>
      <c r="BJ9">
        <v>627.46746499999995</v>
      </c>
      <c r="BK9">
        <v>565.11296200000004</v>
      </c>
      <c r="BL9" cm="1">
        <f t="array" ref="BL9">INDEX(R9:W9,0,MATCH($A9,$R$1:$W$1,0))</f>
        <v>0.48239599999999999</v>
      </c>
      <c r="BM9" cm="1">
        <f t="array" ref="BM9">INDEX(AL9:AQ9,0,MATCH($A9,$R$1:$W$1,0))</f>
        <v>16.175509999999999</v>
      </c>
      <c r="BN9" cm="1">
        <f t="array" ref="BN9">INDEX(BF9:BK9,0,MATCH($A9,$R$1:$W$1,0))</f>
        <v>596.226314</v>
      </c>
    </row>
    <row r="10" spans="1:66" x14ac:dyDescent="0.35">
      <c r="A10" t="s">
        <v>65</v>
      </c>
      <c r="B10">
        <v>601359</v>
      </c>
      <c r="C10">
        <v>1996</v>
      </c>
      <c r="D10">
        <v>0.41</v>
      </c>
      <c r="E10">
        <v>0.27400000000000002</v>
      </c>
      <c r="F10">
        <v>0.318</v>
      </c>
      <c r="G10">
        <v>0.329666666666666</v>
      </c>
      <c r="H10">
        <v>0.27099999999999902</v>
      </c>
      <c r="I10">
        <v>0.53466666666666596</v>
      </c>
      <c r="J10">
        <v>0.51666666666666605</v>
      </c>
      <c r="K10">
        <v>0.332666666666666</v>
      </c>
      <c r="L10">
        <v>0.32633333333333298</v>
      </c>
      <c r="M10">
        <v>0.394666666666666</v>
      </c>
      <c r="N10">
        <v>0.53700000000000003</v>
      </c>
      <c r="O10">
        <v>0.46500000000000002</v>
      </c>
      <c r="P10">
        <v>0.38333333333333303</v>
      </c>
      <c r="Q10">
        <v>0.452666666666666</v>
      </c>
      <c r="R10">
        <v>0.48239599999999999</v>
      </c>
      <c r="S10">
        <v>0.49322666666666598</v>
      </c>
      <c r="T10">
        <v>0.35745037013499997</v>
      </c>
      <c r="U10">
        <v>0.37437904845600001</v>
      </c>
      <c r="V10">
        <v>0.52412000000000003</v>
      </c>
      <c r="W10">
        <v>0.465231333333333</v>
      </c>
      <c r="X10">
        <v>12.946999999999999</v>
      </c>
      <c r="Y10">
        <v>10.823</v>
      </c>
      <c r="Z10">
        <v>12.172000000000001</v>
      </c>
      <c r="AA10">
        <v>13.108000000000001</v>
      </c>
      <c r="AB10">
        <v>12.141999999999999</v>
      </c>
      <c r="AC10">
        <v>17.803999999999998</v>
      </c>
      <c r="AD10">
        <v>16.814</v>
      </c>
      <c r="AE10">
        <v>12.532</v>
      </c>
      <c r="AF10">
        <v>12.492000000000001</v>
      </c>
      <c r="AG10">
        <v>10.816000000000001</v>
      </c>
      <c r="AH10">
        <v>15.064</v>
      </c>
      <c r="AI10">
        <v>15.739000000000001</v>
      </c>
      <c r="AJ10">
        <v>11.73</v>
      </c>
      <c r="AK10">
        <v>15.583</v>
      </c>
      <c r="AL10">
        <v>16.175509999999999</v>
      </c>
      <c r="AM10">
        <v>16.355129999999999</v>
      </c>
      <c r="AN10">
        <v>13.043089992262001</v>
      </c>
      <c r="AO10">
        <v>13.572360027294</v>
      </c>
      <c r="AP10">
        <v>16.465805</v>
      </c>
      <c r="AQ10">
        <v>16.108114</v>
      </c>
      <c r="AR10">
        <v>392.86</v>
      </c>
      <c r="AS10">
        <v>380.78</v>
      </c>
      <c r="AT10">
        <v>422.15</v>
      </c>
      <c r="AU10">
        <v>419.16500000000002</v>
      </c>
      <c r="AV10">
        <v>434.73500000000001</v>
      </c>
      <c r="AW10">
        <v>890.46600000000001</v>
      </c>
      <c r="AX10">
        <v>592.88099999999997</v>
      </c>
      <c r="AY10">
        <v>332.45400000000001</v>
      </c>
      <c r="AZ10">
        <v>320.553</v>
      </c>
      <c r="BA10">
        <v>240.63900000000001</v>
      </c>
      <c r="BB10">
        <v>718.80600000000004</v>
      </c>
      <c r="BC10">
        <v>450.95499999999998</v>
      </c>
      <c r="BD10">
        <v>392.541</v>
      </c>
      <c r="BE10">
        <v>773.94399999999996</v>
      </c>
      <c r="BF10">
        <v>596.226314</v>
      </c>
      <c r="BG10">
        <v>566.24658999999997</v>
      </c>
      <c r="BH10">
        <v>451.53479193128197</v>
      </c>
      <c r="BI10">
        <v>457.16332963372798</v>
      </c>
      <c r="BJ10">
        <v>627.46746499999995</v>
      </c>
      <c r="BK10">
        <v>565.11296200000004</v>
      </c>
      <c r="BL10" cm="1">
        <f t="array" ref="BL10">INDEX(R10:W10,0,MATCH($A10,$R$1:$W$1,0))</f>
        <v>0.35745037013499997</v>
      </c>
      <c r="BM10" cm="1">
        <f t="array" ref="BM10">INDEX(AL10:AQ10,0,MATCH($A10,$R$1:$W$1,0))</f>
        <v>13.043089992262001</v>
      </c>
      <c r="BN10" cm="1">
        <f t="array" ref="BN10">INDEX(BF10:BK10,0,MATCH($A10,$R$1:$W$1,0))</f>
        <v>451.53479193128197</v>
      </c>
    </row>
    <row r="11" spans="1:66" x14ac:dyDescent="0.35">
      <c r="A11" t="s">
        <v>66</v>
      </c>
      <c r="B11">
        <v>148780</v>
      </c>
      <c r="C11">
        <v>1996</v>
      </c>
      <c r="D11">
        <v>0.41</v>
      </c>
      <c r="E11">
        <v>0.27400000000000002</v>
      </c>
      <c r="F11">
        <v>0.318</v>
      </c>
      <c r="G11">
        <v>0.329666666666666</v>
      </c>
      <c r="H11">
        <v>0.27099999999999902</v>
      </c>
      <c r="I11">
        <v>0.53466666666666596</v>
      </c>
      <c r="J11">
        <v>0.51666666666666605</v>
      </c>
      <c r="K11">
        <v>0.332666666666666</v>
      </c>
      <c r="L11">
        <v>0.32633333333333298</v>
      </c>
      <c r="M11">
        <v>0.394666666666666</v>
      </c>
      <c r="N11">
        <v>0.53700000000000003</v>
      </c>
      <c r="O11">
        <v>0.46500000000000002</v>
      </c>
      <c r="P11">
        <v>0.38333333333333303</v>
      </c>
      <c r="Q11">
        <v>0.452666666666666</v>
      </c>
      <c r="R11">
        <v>0.48239599999999999</v>
      </c>
      <c r="S11">
        <v>0.49322666666666598</v>
      </c>
      <c r="T11">
        <v>0.35745037013499997</v>
      </c>
      <c r="U11">
        <v>0.37437904845600001</v>
      </c>
      <c r="V11">
        <v>0.52412000000000003</v>
      </c>
      <c r="W11">
        <v>0.465231333333333</v>
      </c>
      <c r="X11">
        <v>12.946999999999999</v>
      </c>
      <c r="Y11">
        <v>10.823</v>
      </c>
      <c r="Z11">
        <v>12.172000000000001</v>
      </c>
      <c r="AA11">
        <v>13.108000000000001</v>
      </c>
      <c r="AB11">
        <v>12.141999999999999</v>
      </c>
      <c r="AC11">
        <v>17.803999999999998</v>
      </c>
      <c r="AD11">
        <v>16.814</v>
      </c>
      <c r="AE11">
        <v>12.532</v>
      </c>
      <c r="AF11">
        <v>12.492000000000001</v>
      </c>
      <c r="AG11">
        <v>10.816000000000001</v>
      </c>
      <c r="AH11">
        <v>15.064</v>
      </c>
      <c r="AI11">
        <v>15.739000000000001</v>
      </c>
      <c r="AJ11">
        <v>11.73</v>
      </c>
      <c r="AK11">
        <v>15.583</v>
      </c>
      <c r="AL11">
        <v>16.175509999999999</v>
      </c>
      <c r="AM11">
        <v>16.355129999999999</v>
      </c>
      <c r="AN11">
        <v>13.043089992262001</v>
      </c>
      <c r="AO11">
        <v>13.572360027294</v>
      </c>
      <c r="AP11">
        <v>16.465805</v>
      </c>
      <c r="AQ11">
        <v>16.108114</v>
      </c>
      <c r="AR11">
        <v>392.86</v>
      </c>
      <c r="AS11">
        <v>380.78</v>
      </c>
      <c r="AT11">
        <v>422.15</v>
      </c>
      <c r="AU11">
        <v>419.16500000000002</v>
      </c>
      <c r="AV11">
        <v>434.73500000000001</v>
      </c>
      <c r="AW11">
        <v>890.46600000000001</v>
      </c>
      <c r="AX11">
        <v>592.88099999999997</v>
      </c>
      <c r="AY11">
        <v>332.45400000000001</v>
      </c>
      <c r="AZ11">
        <v>320.553</v>
      </c>
      <c r="BA11">
        <v>240.63900000000001</v>
      </c>
      <c r="BB11">
        <v>718.80600000000004</v>
      </c>
      <c r="BC11">
        <v>450.95499999999998</v>
      </c>
      <c r="BD11">
        <v>392.541</v>
      </c>
      <c r="BE11">
        <v>773.94399999999996</v>
      </c>
      <c r="BF11">
        <v>596.226314</v>
      </c>
      <c r="BG11">
        <v>566.24658999999997</v>
      </c>
      <c r="BH11">
        <v>451.53479193128197</v>
      </c>
      <c r="BI11">
        <v>457.16332963372798</v>
      </c>
      <c r="BJ11">
        <v>627.46746499999995</v>
      </c>
      <c r="BK11">
        <v>565.11296200000004</v>
      </c>
      <c r="BL11" cm="1">
        <f t="array" ref="BL11">INDEX(R11:W11,0,MATCH($A11,$R$1:$W$1,0))</f>
        <v>0.52412000000000003</v>
      </c>
      <c r="BM11" cm="1">
        <f t="array" ref="BM11">INDEX(AL11:AQ11,0,MATCH($A11,$R$1:$W$1,0))</f>
        <v>16.465805</v>
      </c>
      <c r="BN11" cm="1">
        <f t="array" ref="BN11">INDEX(BF11:BK11,0,MATCH($A11,$R$1:$W$1,0))</f>
        <v>627.46746499999995</v>
      </c>
    </row>
    <row r="12" spans="1:66" x14ac:dyDescent="0.35">
      <c r="A12" t="s">
        <v>67</v>
      </c>
      <c r="B12">
        <v>133009</v>
      </c>
      <c r="C12">
        <v>1996</v>
      </c>
      <c r="D12">
        <v>0.41</v>
      </c>
      <c r="E12">
        <v>0.27400000000000002</v>
      </c>
      <c r="F12">
        <v>0.318</v>
      </c>
      <c r="G12">
        <v>0.329666666666666</v>
      </c>
      <c r="H12">
        <v>0.27099999999999902</v>
      </c>
      <c r="I12">
        <v>0.53466666666666596</v>
      </c>
      <c r="J12">
        <v>0.51666666666666605</v>
      </c>
      <c r="K12">
        <v>0.332666666666666</v>
      </c>
      <c r="L12">
        <v>0.32633333333333298</v>
      </c>
      <c r="M12">
        <v>0.394666666666666</v>
      </c>
      <c r="N12">
        <v>0.53700000000000003</v>
      </c>
      <c r="O12">
        <v>0.46500000000000002</v>
      </c>
      <c r="P12">
        <v>0.38333333333333303</v>
      </c>
      <c r="Q12">
        <v>0.452666666666666</v>
      </c>
      <c r="R12">
        <v>0.48239599999999999</v>
      </c>
      <c r="S12">
        <v>0.49322666666666598</v>
      </c>
      <c r="T12">
        <v>0.35745037013499997</v>
      </c>
      <c r="U12">
        <v>0.37437904845600001</v>
      </c>
      <c r="V12">
        <v>0.52412000000000003</v>
      </c>
      <c r="W12">
        <v>0.465231333333333</v>
      </c>
      <c r="X12">
        <v>12.946999999999999</v>
      </c>
      <c r="Y12">
        <v>10.823</v>
      </c>
      <c r="Z12">
        <v>12.172000000000001</v>
      </c>
      <c r="AA12">
        <v>13.108000000000001</v>
      </c>
      <c r="AB12">
        <v>12.141999999999999</v>
      </c>
      <c r="AC12">
        <v>17.803999999999998</v>
      </c>
      <c r="AD12">
        <v>16.814</v>
      </c>
      <c r="AE12">
        <v>12.532</v>
      </c>
      <c r="AF12">
        <v>12.492000000000001</v>
      </c>
      <c r="AG12">
        <v>10.816000000000001</v>
      </c>
      <c r="AH12">
        <v>15.064</v>
      </c>
      <c r="AI12">
        <v>15.739000000000001</v>
      </c>
      <c r="AJ12">
        <v>11.73</v>
      </c>
      <c r="AK12">
        <v>15.583</v>
      </c>
      <c r="AL12">
        <v>16.175509999999999</v>
      </c>
      <c r="AM12">
        <v>16.355129999999999</v>
      </c>
      <c r="AN12">
        <v>13.043089992262001</v>
      </c>
      <c r="AO12">
        <v>13.572360027294</v>
      </c>
      <c r="AP12">
        <v>16.465805</v>
      </c>
      <c r="AQ12">
        <v>16.108114</v>
      </c>
      <c r="AR12">
        <v>392.86</v>
      </c>
      <c r="AS12">
        <v>380.78</v>
      </c>
      <c r="AT12">
        <v>422.15</v>
      </c>
      <c r="AU12">
        <v>419.16500000000002</v>
      </c>
      <c r="AV12">
        <v>434.73500000000001</v>
      </c>
      <c r="AW12">
        <v>890.46600000000001</v>
      </c>
      <c r="AX12">
        <v>592.88099999999997</v>
      </c>
      <c r="AY12">
        <v>332.45400000000001</v>
      </c>
      <c r="AZ12">
        <v>320.553</v>
      </c>
      <c r="BA12">
        <v>240.63900000000001</v>
      </c>
      <c r="BB12">
        <v>718.80600000000004</v>
      </c>
      <c r="BC12">
        <v>450.95499999999998</v>
      </c>
      <c r="BD12">
        <v>392.541</v>
      </c>
      <c r="BE12">
        <v>773.94399999999996</v>
      </c>
      <c r="BF12">
        <v>596.226314</v>
      </c>
      <c r="BG12">
        <v>566.24658999999997</v>
      </c>
      <c r="BH12">
        <v>451.53479193128197</v>
      </c>
      <c r="BI12">
        <v>457.16332963372798</v>
      </c>
      <c r="BJ12">
        <v>627.46746499999995</v>
      </c>
      <c r="BK12">
        <v>565.11296200000004</v>
      </c>
      <c r="BL12" cm="1">
        <f t="array" ref="BL12">INDEX(R12:W12,0,MATCH($A12,$R$1:$W$1,0))</f>
        <v>0.465231333333333</v>
      </c>
      <c r="BM12" cm="1">
        <f t="array" ref="BM12">INDEX(AL12:AQ12,0,MATCH($A12,$R$1:$W$1,0))</f>
        <v>16.108114</v>
      </c>
      <c r="BN12" cm="1">
        <f t="array" ref="BN12">INDEX(BF12:BK12,0,MATCH($A12,$R$1:$W$1,0))</f>
        <v>565.11296200000004</v>
      </c>
    </row>
    <row r="13" spans="1:66" x14ac:dyDescent="0.35">
      <c r="A13" t="s">
        <v>63</v>
      </c>
      <c r="B13">
        <v>544825</v>
      </c>
      <c r="C13">
        <v>1997</v>
      </c>
      <c r="D13">
        <v>0.35366666666666602</v>
      </c>
      <c r="E13">
        <v>0.25533333333333302</v>
      </c>
      <c r="F13">
        <v>0.29733333333333301</v>
      </c>
      <c r="G13">
        <v>0.273666666666666</v>
      </c>
      <c r="H13">
        <v>0.17599999999999999</v>
      </c>
      <c r="I13">
        <v>0.45733333333333298</v>
      </c>
      <c r="J13">
        <v>0.379</v>
      </c>
      <c r="K13">
        <v>0.41099999999999998</v>
      </c>
      <c r="L13">
        <v>0.45500000000000002</v>
      </c>
      <c r="M13">
        <v>0.49366666666666598</v>
      </c>
      <c r="N13">
        <v>0.43066666666666598</v>
      </c>
      <c r="O13">
        <v>0.435</v>
      </c>
      <c r="P13">
        <v>0.34566666666666601</v>
      </c>
      <c r="Q13">
        <v>0.47166666666666601</v>
      </c>
      <c r="R13">
        <v>0.40838733333333299</v>
      </c>
      <c r="S13">
        <v>0.39091999999999999</v>
      </c>
      <c r="T13">
        <v>0.30405259234466597</v>
      </c>
      <c r="U13">
        <v>0.32306047702399998</v>
      </c>
      <c r="V13">
        <v>0.48057</v>
      </c>
      <c r="W13">
        <v>0.40476400000000001</v>
      </c>
      <c r="X13">
        <v>13.332000000000001</v>
      </c>
      <c r="Y13">
        <v>12.18</v>
      </c>
      <c r="Z13">
        <v>14.356999999999999</v>
      </c>
      <c r="AA13">
        <v>12.83</v>
      </c>
      <c r="AB13">
        <v>13.606999999999999</v>
      </c>
      <c r="AC13">
        <v>19.849</v>
      </c>
      <c r="AD13">
        <v>18.638000000000002</v>
      </c>
      <c r="AE13">
        <v>12.983000000000001</v>
      </c>
      <c r="AF13">
        <v>13.606999999999999</v>
      </c>
      <c r="AG13">
        <v>13.541</v>
      </c>
      <c r="AH13">
        <v>18.687000000000001</v>
      </c>
      <c r="AI13">
        <v>17.975999999999999</v>
      </c>
      <c r="AJ13">
        <v>12.595000000000001</v>
      </c>
      <c r="AK13">
        <v>16.690000000000001</v>
      </c>
      <c r="AL13">
        <v>18.430513999999999</v>
      </c>
      <c r="AM13">
        <v>18.204940000000001</v>
      </c>
      <c r="AN13">
        <v>14.371766658108999</v>
      </c>
      <c r="AO13">
        <v>14.772481459395999</v>
      </c>
      <c r="AP13">
        <v>18.936330000000002</v>
      </c>
      <c r="AQ13">
        <v>17.762324</v>
      </c>
      <c r="AR13">
        <v>314.36700000000002</v>
      </c>
      <c r="AS13">
        <v>364.92500000000001</v>
      </c>
      <c r="AT13">
        <v>498.036</v>
      </c>
      <c r="AU13">
        <v>494.04899999999998</v>
      </c>
      <c r="AV13">
        <v>620.80600000000004</v>
      </c>
      <c r="AW13">
        <v>1117.7860000000001</v>
      </c>
      <c r="AX13">
        <v>814.87199999999996</v>
      </c>
      <c r="AY13">
        <v>254.51499999999999</v>
      </c>
      <c r="AZ13">
        <v>297.24</v>
      </c>
      <c r="BA13">
        <v>186.184</v>
      </c>
      <c r="BB13">
        <v>975.79300000000001</v>
      </c>
      <c r="BC13">
        <v>516.49699999999996</v>
      </c>
      <c r="BD13">
        <v>344.892</v>
      </c>
      <c r="BE13">
        <v>988.976</v>
      </c>
      <c r="BF13">
        <v>756.37686799999994</v>
      </c>
      <c r="BG13">
        <v>742.08048999999903</v>
      </c>
      <c r="BH13">
        <v>545.93887078838202</v>
      </c>
      <c r="BI13">
        <v>552.45443264150595</v>
      </c>
      <c r="BJ13">
        <v>783.73815500000001</v>
      </c>
      <c r="BK13">
        <v>690.83893599999999</v>
      </c>
      <c r="BL13" cm="1">
        <f t="array" ref="BL13">INDEX(R13:W13,0,MATCH($A13,$R$1:$W$1,0))</f>
        <v>0.32306047702399998</v>
      </c>
      <c r="BM13" cm="1">
        <f t="array" ref="BM13">INDEX(AL13:AQ13,0,MATCH($A13,$R$1:$W$1,0))</f>
        <v>14.772481459395999</v>
      </c>
      <c r="BN13" cm="1">
        <f t="array" ref="BN13">INDEX(BF13:BK13,0,MATCH($A13,$R$1:$W$1,0))</f>
        <v>552.45443264150595</v>
      </c>
    </row>
    <row r="14" spans="1:66" x14ac:dyDescent="0.35">
      <c r="A14" t="s">
        <v>64</v>
      </c>
      <c r="B14">
        <v>80281</v>
      </c>
      <c r="C14">
        <v>1997</v>
      </c>
      <c r="D14">
        <v>0.35366666666666602</v>
      </c>
      <c r="E14">
        <v>0.25533333333333302</v>
      </c>
      <c r="F14">
        <v>0.29733333333333301</v>
      </c>
      <c r="G14">
        <v>0.273666666666666</v>
      </c>
      <c r="H14">
        <v>0.17599999999999999</v>
      </c>
      <c r="I14">
        <v>0.45733333333333298</v>
      </c>
      <c r="J14">
        <v>0.379</v>
      </c>
      <c r="K14">
        <v>0.41099999999999998</v>
      </c>
      <c r="L14">
        <v>0.45500000000000002</v>
      </c>
      <c r="M14">
        <v>0.49366666666666598</v>
      </c>
      <c r="N14">
        <v>0.43066666666666598</v>
      </c>
      <c r="O14">
        <v>0.435</v>
      </c>
      <c r="P14">
        <v>0.34566666666666601</v>
      </c>
      <c r="Q14">
        <v>0.47166666666666601</v>
      </c>
      <c r="R14">
        <v>0.40838733333333299</v>
      </c>
      <c r="S14">
        <v>0.39091999999999999</v>
      </c>
      <c r="T14">
        <v>0.30405259234466597</v>
      </c>
      <c r="U14">
        <v>0.32306047702399998</v>
      </c>
      <c r="V14">
        <v>0.48057</v>
      </c>
      <c r="W14">
        <v>0.40476400000000001</v>
      </c>
      <c r="X14">
        <v>13.332000000000001</v>
      </c>
      <c r="Y14">
        <v>12.18</v>
      </c>
      <c r="Z14">
        <v>14.356999999999999</v>
      </c>
      <c r="AA14">
        <v>12.83</v>
      </c>
      <c r="AB14">
        <v>13.606999999999999</v>
      </c>
      <c r="AC14">
        <v>19.849</v>
      </c>
      <c r="AD14">
        <v>18.638000000000002</v>
      </c>
      <c r="AE14">
        <v>12.983000000000001</v>
      </c>
      <c r="AF14">
        <v>13.606999999999999</v>
      </c>
      <c r="AG14">
        <v>13.541</v>
      </c>
      <c r="AH14">
        <v>18.687000000000001</v>
      </c>
      <c r="AI14">
        <v>17.975999999999999</v>
      </c>
      <c r="AJ14">
        <v>12.595000000000001</v>
      </c>
      <c r="AK14">
        <v>16.690000000000001</v>
      </c>
      <c r="AL14">
        <v>18.430513999999999</v>
      </c>
      <c r="AM14">
        <v>18.204940000000001</v>
      </c>
      <c r="AN14">
        <v>14.371766658108999</v>
      </c>
      <c r="AO14">
        <v>14.772481459395999</v>
      </c>
      <c r="AP14">
        <v>18.936330000000002</v>
      </c>
      <c r="AQ14">
        <v>17.762324</v>
      </c>
      <c r="AR14">
        <v>314.36700000000002</v>
      </c>
      <c r="AS14">
        <v>364.92500000000001</v>
      </c>
      <c r="AT14">
        <v>498.036</v>
      </c>
      <c r="AU14">
        <v>494.04899999999998</v>
      </c>
      <c r="AV14">
        <v>620.80600000000004</v>
      </c>
      <c r="AW14">
        <v>1117.7860000000001</v>
      </c>
      <c r="AX14">
        <v>814.87199999999996</v>
      </c>
      <c r="AY14">
        <v>254.51499999999999</v>
      </c>
      <c r="AZ14">
        <v>297.24</v>
      </c>
      <c r="BA14">
        <v>186.184</v>
      </c>
      <c r="BB14">
        <v>975.79300000000001</v>
      </c>
      <c r="BC14">
        <v>516.49699999999996</v>
      </c>
      <c r="BD14">
        <v>344.892</v>
      </c>
      <c r="BE14">
        <v>988.976</v>
      </c>
      <c r="BF14">
        <v>756.37686799999994</v>
      </c>
      <c r="BG14">
        <v>742.08048999999903</v>
      </c>
      <c r="BH14">
        <v>545.93887078838202</v>
      </c>
      <c r="BI14">
        <v>552.45443264150595</v>
      </c>
      <c r="BJ14">
        <v>783.73815500000001</v>
      </c>
      <c r="BK14">
        <v>690.83893599999999</v>
      </c>
      <c r="BL14" cm="1">
        <f t="array" ref="BL14">INDEX(R14:W14,0,MATCH($A14,$R$1:$W$1,0))</f>
        <v>0.40838733333333299</v>
      </c>
      <c r="BM14" cm="1">
        <f t="array" ref="BM14">INDEX(AL14:AQ14,0,MATCH($A14,$R$1:$W$1,0))</f>
        <v>18.430513999999999</v>
      </c>
      <c r="BN14" cm="1">
        <f t="array" ref="BN14">INDEX(BF14:BK14,0,MATCH($A14,$R$1:$W$1,0))</f>
        <v>756.37686799999994</v>
      </c>
    </row>
    <row r="15" spans="1:66" x14ac:dyDescent="0.35">
      <c r="A15" t="s">
        <v>65</v>
      </c>
      <c r="B15">
        <v>426481</v>
      </c>
      <c r="C15">
        <v>1997</v>
      </c>
      <c r="D15">
        <v>0.35366666666666602</v>
      </c>
      <c r="E15">
        <v>0.25533333333333302</v>
      </c>
      <c r="F15">
        <v>0.29733333333333301</v>
      </c>
      <c r="G15">
        <v>0.273666666666666</v>
      </c>
      <c r="H15">
        <v>0.17599999999999999</v>
      </c>
      <c r="I15">
        <v>0.45733333333333298</v>
      </c>
      <c r="J15">
        <v>0.379</v>
      </c>
      <c r="K15">
        <v>0.41099999999999998</v>
      </c>
      <c r="L15">
        <v>0.45500000000000002</v>
      </c>
      <c r="M15">
        <v>0.49366666666666598</v>
      </c>
      <c r="N15">
        <v>0.43066666666666598</v>
      </c>
      <c r="O15">
        <v>0.435</v>
      </c>
      <c r="P15">
        <v>0.34566666666666601</v>
      </c>
      <c r="Q15">
        <v>0.47166666666666601</v>
      </c>
      <c r="R15">
        <v>0.40838733333333299</v>
      </c>
      <c r="S15">
        <v>0.39091999999999999</v>
      </c>
      <c r="T15">
        <v>0.30405259234466597</v>
      </c>
      <c r="U15">
        <v>0.32306047702399998</v>
      </c>
      <c r="V15">
        <v>0.48057</v>
      </c>
      <c r="W15">
        <v>0.40476400000000001</v>
      </c>
      <c r="X15">
        <v>13.332000000000001</v>
      </c>
      <c r="Y15">
        <v>12.18</v>
      </c>
      <c r="Z15">
        <v>14.356999999999999</v>
      </c>
      <c r="AA15">
        <v>12.83</v>
      </c>
      <c r="AB15">
        <v>13.606999999999999</v>
      </c>
      <c r="AC15">
        <v>19.849</v>
      </c>
      <c r="AD15">
        <v>18.638000000000002</v>
      </c>
      <c r="AE15">
        <v>12.983000000000001</v>
      </c>
      <c r="AF15">
        <v>13.606999999999999</v>
      </c>
      <c r="AG15">
        <v>13.541</v>
      </c>
      <c r="AH15">
        <v>18.687000000000001</v>
      </c>
      <c r="AI15">
        <v>17.975999999999999</v>
      </c>
      <c r="AJ15">
        <v>12.595000000000001</v>
      </c>
      <c r="AK15">
        <v>16.690000000000001</v>
      </c>
      <c r="AL15">
        <v>18.430513999999999</v>
      </c>
      <c r="AM15">
        <v>18.204940000000001</v>
      </c>
      <c r="AN15">
        <v>14.371766658108999</v>
      </c>
      <c r="AO15">
        <v>14.772481459395999</v>
      </c>
      <c r="AP15">
        <v>18.936330000000002</v>
      </c>
      <c r="AQ15">
        <v>17.762324</v>
      </c>
      <c r="AR15">
        <v>314.36700000000002</v>
      </c>
      <c r="AS15">
        <v>364.92500000000001</v>
      </c>
      <c r="AT15">
        <v>498.036</v>
      </c>
      <c r="AU15">
        <v>494.04899999999998</v>
      </c>
      <c r="AV15">
        <v>620.80600000000004</v>
      </c>
      <c r="AW15">
        <v>1117.7860000000001</v>
      </c>
      <c r="AX15">
        <v>814.87199999999996</v>
      </c>
      <c r="AY15">
        <v>254.51499999999999</v>
      </c>
      <c r="AZ15">
        <v>297.24</v>
      </c>
      <c r="BA15">
        <v>186.184</v>
      </c>
      <c r="BB15">
        <v>975.79300000000001</v>
      </c>
      <c r="BC15">
        <v>516.49699999999996</v>
      </c>
      <c r="BD15">
        <v>344.892</v>
      </c>
      <c r="BE15">
        <v>988.976</v>
      </c>
      <c r="BF15">
        <v>756.37686799999994</v>
      </c>
      <c r="BG15">
        <v>742.08048999999903</v>
      </c>
      <c r="BH15">
        <v>545.93887078838202</v>
      </c>
      <c r="BI15">
        <v>552.45443264150595</v>
      </c>
      <c r="BJ15">
        <v>783.73815500000001</v>
      </c>
      <c r="BK15">
        <v>690.83893599999999</v>
      </c>
      <c r="BL15" cm="1">
        <f t="array" ref="BL15">INDEX(R15:W15,0,MATCH($A15,$R$1:$W$1,0))</f>
        <v>0.30405259234466597</v>
      </c>
      <c r="BM15" cm="1">
        <f t="array" ref="BM15">INDEX(AL15:AQ15,0,MATCH($A15,$R$1:$W$1,0))</f>
        <v>14.371766658108999</v>
      </c>
      <c r="BN15" cm="1">
        <f t="array" ref="BN15">INDEX(BF15:BK15,0,MATCH($A15,$R$1:$W$1,0))</f>
        <v>545.93887078838202</v>
      </c>
    </row>
    <row r="16" spans="1:66" x14ac:dyDescent="0.35">
      <c r="A16" t="s">
        <v>66</v>
      </c>
      <c r="B16">
        <v>173702</v>
      </c>
      <c r="C16">
        <v>1997</v>
      </c>
      <c r="D16">
        <v>0.35366666666666602</v>
      </c>
      <c r="E16">
        <v>0.25533333333333302</v>
      </c>
      <c r="F16">
        <v>0.29733333333333301</v>
      </c>
      <c r="G16">
        <v>0.273666666666666</v>
      </c>
      <c r="H16">
        <v>0.17599999999999999</v>
      </c>
      <c r="I16">
        <v>0.45733333333333298</v>
      </c>
      <c r="J16">
        <v>0.379</v>
      </c>
      <c r="K16">
        <v>0.41099999999999998</v>
      </c>
      <c r="L16">
        <v>0.45500000000000002</v>
      </c>
      <c r="M16">
        <v>0.49366666666666598</v>
      </c>
      <c r="N16">
        <v>0.43066666666666598</v>
      </c>
      <c r="O16">
        <v>0.435</v>
      </c>
      <c r="P16">
        <v>0.34566666666666601</v>
      </c>
      <c r="Q16">
        <v>0.47166666666666601</v>
      </c>
      <c r="R16">
        <v>0.40838733333333299</v>
      </c>
      <c r="S16">
        <v>0.39091999999999999</v>
      </c>
      <c r="T16">
        <v>0.30405259234466597</v>
      </c>
      <c r="U16">
        <v>0.32306047702399998</v>
      </c>
      <c r="V16">
        <v>0.48057</v>
      </c>
      <c r="W16">
        <v>0.40476400000000001</v>
      </c>
      <c r="X16">
        <v>13.332000000000001</v>
      </c>
      <c r="Y16">
        <v>12.18</v>
      </c>
      <c r="Z16">
        <v>14.356999999999999</v>
      </c>
      <c r="AA16">
        <v>12.83</v>
      </c>
      <c r="AB16">
        <v>13.606999999999999</v>
      </c>
      <c r="AC16">
        <v>19.849</v>
      </c>
      <c r="AD16">
        <v>18.638000000000002</v>
      </c>
      <c r="AE16">
        <v>12.983000000000001</v>
      </c>
      <c r="AF16">
        <v>13.606999999999999</v>
      </c>
      <c r="AG16">
        <v>13.541</v>
      </c>
      <c r="AH16">
        <v>18.687000000000001</v>
      </c>
      <c r="AI16">
        <v>17.975999999999999</v>
      </c>
      <c r="AJ16">
        <v>12.595000000000001</v>
      </c>
      <c r="AK16">
        <v>16.690000000000001</v>
      </c>
      <c r="AL16">
        <v>18.430513999999999</v>
      </c>
      <c r="AM16">
        <v>18.204940000000001</v>
      </c>
      <c r="AN16">
        <v>14.371766658108999</v>
      </c>
      <c r="AO16">
        <v>14.772481459395999</v>
      </c>
      <c r="AP16">
        <v>18.936330000000002</v>
      </c>
      <c r="AQ16">
        <v>17.762324</v>
      </c>
      <c r="AR16">
        <v>314.36700000000002</v>
      </c>
      <c r="AS16">
        <v>364.92500000000001</v>
      </c>
      <c r="AT16">
        <v>498.036</v>
      </c>
      <c r="AU16">
        <v>494.04899999999998</v>
      </c>
      <c r="AV16">
        <v>620.80600000000004</v>
      </c>
      <c r="AW16">
        <v>1117.7860000000001</v>
      </c>
      <c r="AX16">
        <v>814.87199999999996</v>
      </c>
      <c r="AY16">
        <v>254.51499999999999</v>
      </c>
      <c r="AZ16">
        <v>297.24</v>
      </c>
      <c r="BA16">
        <v>186.184</v>
      </c>
      <c r="BB16">
        <v>975.79300000000001</v>
      </c>
      <c r="BC16">
        <v>516.49699999999996</v>
      </c>
      <c r="BD16">
        <v>344.892</v>
      </c>
      <c r="BE16">
        <v>988.976</v>
      </c>
      <c r="BF16">
        <v>756.37686799999994</v>
      </c>
      <c r="BG16">
        <v>742.08048999999903</v>
      </c>
      <c r="BH16">
        <v>545.93887078838202</v>
      </c>
      <c r="BI16">
        <v>552.45443264150595</v>
      </c>
      <c r="BJ16">
        <v>783.73815500000001</v>
      </c>
      <c r="BK16">
        <v>690.83893599999999</v>
      </c>
      <c r="BL16" cm="1">
        <f t="array" ref="BL16">INDEX(R16:W16,0,MATCH($A16,$R$1:$W$1,0))</f>
        <v>0.48057</v>
      </c>
      <c r="BM16" cm="1">
        <f t="array" ref="BM16">INDEX(AL16:AQ16,0,MATCH($A16,$R$1:$W$1,0))</f>
        <v>18.936330000000002</v>
      </c>
      <c r="BN16" cm="1">
        <f t="array" ref="BN16">INDEX(BF16:BK16,0,MATCH($A16,$R$1:$W$1,0))</f>
        <v>783.73815500000001</v>
      </c>
    </row>
    <row r="17" spans="1:66" x14ac:dyDescent="0.35">
      <c r="A17" t="s">
        <v>67</v>
      </c>
      <c r="B17">
        <v>118297</v>
      </c>
      <c r="C17">
        <v>1997</v>
      </c>
      <c r="D17">
        <v>0.35366666666666602</v>
      </c>
      <c r="E17">
        <v>0.25533333333333302</v>
      </c>
      <c r="F17">
        <v>0.29733333333333301</v>
      </c>
      <c r="G17">
        <v>0.273666666666666</v>
      </c>
      <c r="H17">
        <v>0.17599999999999999</v>
      </c>
      <c r="I17">
        <v>0.45733333333333298</v>
      </c>
      <c r="J17">
        <v>0.379</v>
      </c>
      <c r="K17">
        <v>0.41099999999999998</v>
      </c>
      <c r="L17">
        <v>0.45500000000000002</v>
      </c>
      <c r="M17">
        <v>0.49366666666666598</v>
      </c>
      <c r="N17">
        <v>0.43066666666666598</v>
      </c>
      <c r="O17">
        <v>0.435</v>
      </c>
      <c r="P17">
        <v>0.34566666666666601</v>
      </c>
      <c r="Q17">
        <v>0.47166666666666601</v>
      </c>
      <c r="R17">
        <v>0.40838733333333299</v>
      </c>
      <c r="S17">
        <v>0.39091999999999999</v>
      </c>
      <c r="T17">
        <v>0.30405259234466597</v>
      </c>
      <c r="U17">
        <v>0.32306047702399998</v>
      </c>
      <c r="V17">
        <v>0.48057</v>
      </c>
      <c r="W17">
        <v>0.40476400000000001</v>
      </c>
      <c r="X17">
        <v>13.332000000000001</v>
      </c>
      <c r="Y17">
        <v>12.18</v>
      </c>
      <c r="Z17">
        <v>14.356999999999999</v>
      </c>
      <c r="AA17">
        <v>12.83</v>
      </c>
      <c r="AB17">
        <v>13.606999999999999</v>
      </c>
      <c r="AC17">
        <v>19.849</v>
      </c>
      <c r="AD17">
        <v>18.638000000000002</v>
      </c>
      <c r="AE17">
        <v>12.983000000000001</v>
      </c>
      <c r="AF17">
        <v>13.606999999999999</v>
      </c>
      <c r="AG17">
        <v>13.541</v>
      </c>
      <c r="AH17">
        <v>18.687000000000001</v>
      </c>
      <c r="AI17">
        <v>17.975999999999999</v>
      </c>
      <c r="AJ17">
        <v>12.595000000000001</v>
      </c>
      <c r="AK17">
        <v>16.690000000000001</v>
      </c>
      <c r="AL17">
        <v>18.430513999999999</v>
      </c>
      <c r="AM17">
        <v>18.204940000000001</v>
      </c>
      <c r="AN17">
        <v>14.371766658108999</v>
      </c>
      <c r="AO17">
        <v>14.772481459395999</v>
      </c>
      <c r="AP17">
        <v>18.936330000000002</v>
      </c>
      <c r="AQ17">
        <v>17.762324</v>
      </c>
      <c r="AR17">
        <v>314.36700000000002</v>
      </c>
      <c r="AS17">
        <v>364.92500000000001</v>
      </c>
      <c r="AT17">
        <v>498.036</v>
      </c>
      <c r="AU17">
        <v>494.04899999999998</v>
      </c>
      <c r="AV17">
        <v>620.80600000000004</v>
      </c>
      <c r="AW17">
        <v>1117.7860000000001</v>
      </c>
      <c r="AX17">
        <v>814.87199999999996</v>
      </c>
      <c r="AY17">
        <v>254.51499999999999</v>
      </c>
      <c r="AZ17">
        <v>297.24</v>
      </c>
      <c r="BA17">
        <v>186.184</v>
      </c>
      <c r="BB17">
        <v>975.79300000000001</v>
      </c>
      <c r="BC17">
        <v>516.49699999999996</v>
      </c>
      <c r="BD17">
        <v>344.892</v>
      </c>
      <c r="BE17">
        <v>988.976</v>
      </c>
      <c r="BF17">
        <v>756.37686799999994</v>
      </c>
      <c r="BG17">
        <v>742.08048999999903</v>
      </c>
      <c r="BH17">
        <v>545.93887078838202</v>
      </c>
      <c r="BI17">
        <v>552.45443264150595</v>
      </c>
      <c r="BJ17">
        <v>783.73815500000001</v>
      </c>
      <c r="BK17">
        <v>690.83893599999999</v>
      </c>
      <c r="BL17" cm="1">
        <f t="array" ref="BL17">INDEX(R17:W17,0,MATCH($A17,$R$1:$W$1,0))</f>
        <v>0.40476400000000001</v>
      </c>
      <c r="BM17" cm="1">
        <f t="array" ref="BM17">INDEX(AL17:AQ17,0,MATCH($A17,$R$1:$W$1,0))</f>
        <v>17.762324</v>
      </c>
      <c r="BN17" cm="1">
        <f t="array" ref="BN17">INDEX(BF17:BK17,0,MATCH($A17,$R$1:$W$1,0))</f>
        <v>690.83893599999999</v>
      </c>
    </row>
    <row r="18" spans="1:66" x14ac:dyDescent="0.35">
      <c r="A18" t="s">
        <v>63</v>
      </c>
      <c r="B18">
        <v>579067</v>
      </c>
      <c r="C18">
        <v>1998</v>
      </c>
      <c r="D18">
        <v>0.505</v>
      </c>
      <c r="E18">
        <v>0.40433333333333299</v>
      </c>
      <c r="F18">
        <v>0.45400000000000001</v>
      </c>
      <c r="G18">
        <v>0.44333333333333302</v>
      </c>
      <c r="H18">
        <v>0.42166666666666602</v>
      </c>
      <c r="I18">
        <v>0.61199999999999999</v>
      </c>
      <c r="J18">
        <v>0.59633333333333305</v>
      </c>
      <c r="K18">
        <v>0.502</v>
      </c>
      <c r="L18">
        <v>0.59599999999999997</v>
      </c>
      <c r="M18">
        <v>0.57933333333333303</v>
      </c>
      <c r="N18">
        <v>0.62633333333333296</v>
      </c>
      <c r="O18">
        <v>0.59966666666666602</v>
      </c>
      <c r="P18">
        <v>0.50366666666666604</v>
      </c>
      <c r="Q18">
        <v>0.61866666666666603</v>
      </c>
      <c r="R18">
        <v>0.61793199999999904</v>
      </c>
      <c r="S18">
        <v>0.58900999999999903</v>
      </c>
      <c r="T18">
        <v>0.48187777745433302</v>
      </c>
      <c r="U18">
        <v>0.50051381065</v>
      </c>
      <c r="V18">
        <v>0.67007499999999998</v>
      </c>
      <c r="W18">
        <v>0.60636666666666605</v>
      </c>
      <c r="X18">
        <v>14.414999999999999</v>
      </c>
      <c r="Y18">
        <v>13.363</v>
      </c>
      <c r="Z18">
        <v>14.263</v>
      </c>
      <c r="AA18">
        <v>15.227</v>
      </c>
      <c r="AB18">
        <v>14.361000000000001</v>
      </c>
      <c r="AC18">
        <v>18.754000000000001</v>
      </c>
      <c r="AD18">
        <v>16.989000000000001</v>
      </c>
      <c r="AE18">
        <v>16.018999999999998</v>
      </c>
      <c r="AF18">
        <v>16.408000000000001</v>
      </c>
      <c r="AG18">
        <v>17.059999999999999</v>
      </c>
      <c r="AH18">
        <v>16.943000000000001</v>
      </c>
      <c r="AI18">
        <v>17.074999999999999</v>
      </c>
      <c r="AJ18">
        <v>13.869</v>
      </c>
      <c r="AK18">
        <v>16.960999999999999</v>
      </c>
      <c r="AL18">
        <v>18.125632</v>
      </c>
      <c r="AM18">
        <v>17.001560000000001</v>
      </c>
      <c r="AN18">
        <v>15.045136657378</v>
      </c>
      <c r="AO18">
        <v>15.483930032544</v>
      </c>
      <c r="AP18">
        <v>19.133590000000002</v>
      </c>
      <c r="AQ18">
        <v>18.272452000000001</v>
      </c>
      <c r="AR18">
        <v>377.32400000000001</v>
      </c>
      <c r="AS18">
        <v>367.31900000000002</v>
      </c>
      <c r="AT18">
        <v>418.60300000000001</v>
      </c>
      <c r="AU18">
        <v>463.39</v>
      </c>
      <c r="AV18">
        <v>487.98399999999998</v>
      </c>
      <c r="AW18">
        <v>1034.1220000000001</v>
      </c>
      <c r="AX18">
        <v>745.077</v>
      </c>
      <c r="AY18">
        <v>351.822</v>
      </c>
      <c r="AZ18">
        <v>370.51</v>
      </c>
      <c r="BA18">
        <v>281.74299999999999</v>
      </c>
      <c r="BB18">
        <v>825.06399999999996</v>
      </c>
      <c r="BC18">
        <v>579.22199999999998</v>
      </c>
      <c r="BD18">
        <v>370.81200000000001</v>
      </c>
      <c r="BE18">
        <v>844.28200000000004</v>
      </c>
      <c r="BF18">
        <v>690.08088799999996</v>
      </c>
      <c r="BG18">
        <v>705.100539999999</v>
      </c>
      <c r="BH18">
        <v>496.56975967689101</v>
      </c>
      <c r="BI18">
        <v>515.30731260010396</v>
      </c>
      <c r="BJ18">
        <v>725.03306999999995</v>
      </c>
      <c r="BK18">
        <v>650.64258199999995</v>
      </c>
      <c r="BL18" cm="1">
        <f t="array" ref="BL18">INDEX(R18:W18,0,MATCH($A18,$R$1:$W$1,0))</f>
        <v>0.50051381065</v>
      </c>
      <c r="BM18" cm="1">
        <f t="array" ref="BM18">INDEX(AL18:AQ18,0,MATCH($A18,$R$1:$W$1,0))</f>
        <v>15.483930032544</v>
      </c>
      <c r="BN18" cm="1">
        <f t="array" ref="BN18">INDEX(BF18:BK18,0,MATCH($A18,$R$1:$W$1,0))</f>
        <v>515.30731260010396</v>
      </c>
    </row>
    <row r="19" spans="1:66" x14ac:dyDescent="0.35">
      <c r="A19" t="s">
        <v>64</v>
      </c>
      <c r="B19">
        <v>44339</v>
      </c>
      <c r="C19">
        <v>1998</v>
      </c>
      <c r="D19">
        <v>0.505</v>
      </c>
      <c r="E19">
        <v>0.40433333333333299</v>
      </c>
      <c r="F19">
        <v>0.45400000000000001</v>
      </c>
      <c r="G19">
        <v>0.44333333333333302</v>
      </c>
      <c r="H19">
        <v>0.42166666666666602</v>
      </c>
      <c r="I19">
        <v>0.61199999999999999</v>
      </c>
      <c r="J19">
        <v>0.59633333333333305</v>
      </c>
      <c r="K19">
        <v>0.502</v>
      </c>
      <c r="L19">
        <v>0.59599999999999997</v>
      </c>
      <c r="M19">
        <v>0.57933333333333303</v>
      </c>
      <c r="N19">
        <v>0.62633333333333296</v>
      </c>
      <c r="O19">
        <v>0.59966666666666602</v>
      </c>
      <c r="P19">
        <v>0.50366666666666604</v>
      </c>
      <c r="Q19">
        <v>0.61866666666666603</v>
      </c>
      <c r="R19">
        <v>0.61793199999999904</v>
      </c>
      <c r="S19">
        <v>0.58900999999999903</v>
      </c>
      <c r="T19">
        <v>0.48187777745433302</v>
      </c>
      <c r="U19">
        <v>0.50051381065</v>
      </c>
      <c r="V19">
        <v>0.67007499999999998</v>
      </c>
      <c r="W19">
        <v>0.60636666666666605</v>
      </c>
      <c r="X19">
        <v>14.414999999999999</v>
      </c>
      <c r="Y19">
        <v>13.363</v>
      </c>
      <c r="Z19">
        <v>14.263</v>
      </c>
      <c r="AA19">
        <v>15.227</v>
      </c>
      <c r="AB19">
        <v>14.361000000000001</v>
      </c>
      <c r="AC19">
        <v>18.754000000000001</v>
      </c>
      <c r="AD19">
        <v>16.989000000000001</v>
      </c>
      <c r="AE19">
        <v>16.018999999999998</v>
      </c>
      <c r="AF19">
        <v>16.408000000000001</v>
      </c>
      <c r="AG19">
        <v>17.059999999999999</v>
      </c>
      <c r="AH19">
        <v>16.943000000000001</v>
      </c>
      <c r="AI19">
        <v>17.074999999999999</v>
      </c>
      <c r="AJ19">
        <v>13.869</v>
      </c>
      <c r="AK19">
        <v>16.960999999999999</v>
      </c>
      <c r="AL19">
        <v>18.125632</v>
      </c>
      <c r="AM19">
        <v>17.001560000000001</v>
      </c>
      <c r="AN19">
        <v>15.045136657378</v>
      </c>
      <c r="AO19">
        <v>15.483930032544</v>
      </c>
      <c r="AP19">
        <v>19.133590000000002</v>
      </c>
      <c r="AQ19">
        <v>18.272452000000001</v>
      </c>
      <c r="AR19">
        <v>377.32400000000001</v>
      </c>
      <c r="AS19">
        <v>367.31900000000002</v>
      </c>
      <c r="AT19">
        <v>418.60300000000001</v>
      </c>
      <c r="AU19">
        <v>463.39</v>
      </c>
      <c r="AV19">
        <v>487.98399999999998</v>
      </c>
      <c r="AW19">
        <v>1034.1220000000001</v>
      </c>
      <c r="AX19">
        <v>745.077</v>
      </c>
      <c r="AY19">
        <v>351.822</v>
      </c>
      <c r="AZ19">
        <v>370.51</v>
      </c>
      <c r="BA19">
        <v>281.74299999999999</v>
      </c>
      <c r="BB19">
        <v>825.06399999999996</v>
      </c>
      <c r="BC19">
        <v>579.22199999999998</v>
      </c>
      <c r="BD19">
        <v>370.81200000000001</v>
      </c>
      <c r="BE19">
        <v>844.28200000000004</v>
      </c>
      <c r="BF19">
        <v>690.08088799999996</v>
      </c>
      <c r="BG19">
        <v>705.100539999999</v>
      </c>
      <c r="BH19">
        <v>496.56975967689101</v>
      </c>
      <c r="BI19">
        <v>515.30731260010396</v>
      </c>
      <c r="BJ19">
        <v>725.03306999999995</v>
      </c>
      <c r="BK19">
        <v>650.64258199999995</v>
      </c>
      <c r="BL19" cm="1">
        <f t="array" ref="BL19">INDEX(R19:W19,0,MATCH($A19,$R$1:$W$1,0))</f>
        <v>0.61793199999999904</v>
      </c>
      <c r="BM19" cm="1">
        <f t="array" ref="BM19">INDEX(AL19:AQ19,0,MATCH($A19,$R$1:$W$1,0))</f>
        <v>18.125632</v>
      </c>
      <c r="BN19" cm="1">
        <f t="array" ref="BN19">INDEX(BF19:BK19,0,MATCH($A19,$R$1:$W$1,0))</f>
        <v>690.08088799999996</v>
      </c>
    </row>
    <row r="20" spans="1:66" x14ac:dyDescent="0.35">
      <c r="A20" t="s">
        <v>65</v>
      </c>
      <c r="B20">
        <v>441418</v>
      </c>
      <c r="C20">
        <v>1998</v>
      </c>
      <c r="D20">
        <v>0.505</v>
      </c>
      <c r="E20">
        <v>0.40433333333333299</v>
      </c>
      <c r="F20">
        <v>0.45400000000000001</v>
      </c>
      <c r="G20">
        <v>0.44333333333333302</v>
      </c>
      <c r="H20">
        <v>0.42166666666666602</v>
      </c>
      <c r="I20">
        <v>0.61199999999999999</v>
      </c>
      <c r="J20">
        <v>0.59633333333333305</v>
      </c>
      <c r="K20">
        <v>0.502</v>
      </c>
      <c r="L20">
        <v>0.59599999999999997</v>
      </c>
      <c r="M20">
        <v>0.57933333333333303</v>
      </c>
      <c r="N20">
        <v>0.62633333333333296</v>
      </c>
      <c r="O20">
        <v>0.59966666666666602</v>
      </c>
      <c r="P20">
        <v>0.50366666666666604</v>
      </c>
      <c r="Q20">
        <v>0.61866666666666603</v>
      </c>
      <c r="R20">
        <v>0.61793199999999904</v>
      </c>
      <c r="S20">
        <v>0.58900999999999903</v>
      </c>
      <c r="T20">
        <v>0.48187777745433302</v>
      </c>
      <c r="U20">
        <v>0.50051381065</v>
      </c>
      <c r="V20">
        <v>0.67007499999999998</v>
      </c>
      <c r="W20">
        <v>0.60636666666666605</v>
      </c>
      <c r="X20">
        <v>14.414999999999999</v>
      </c>
      <c r="Y20">
        <v>13.363</v>
      </c>
      <c r="Z20">
        <v>14.263</v>
      </c>
      <c r="AA20">
        <v>15.227</v>
      </c>
      <c r="AB20">
        <v>14.361000000000001</v>
      </c>
      <c r="AC20">
        <v>18.754000000000001</v>
      </c>
      <c r="AD20">
        <v>16.989000000000001</v>
      </c>
      <c r="AE20">
        <v>16.018999999999998</v>
      </c>
      <c r="AF20">
        <v>16.408000000000001</v>
      </c>
      <c r="AG20">
        <v>17.059999999999999</v>
      </c>
      <c r="AH20">
        <v>16.943000000000001</v>
      </c>
      <c r="AI20">
        <v>17.074999999999999</v>
      </c>
      <c r="AJ20">
        <v>13.869</v>
      </c>
      <c r="AK20">
        <v>16.960999999999999</v>
      </c>
      <c r="AL20">
        <v>18.125632</v>
      </c>
      <c r="AM20">
        <v>17.001560000000001</v>
      </c>
      <c r="AN20">
        <v>15.045136657378</v>
      </c>
      <c r="AO20">
        <v>15.483930032544</v>
      </c>
      <c r="AP20">
        <v>19.133590000000002</v>
      </c>
      <c r="AQ20">
        <v>18.272452000000001</v>
      </c>
      <c r="AR20">
        <v>377.32400000000001</v>
      </c>
      <c r="AS20">
        <v>367.31900000000002</v>
      </c>
      <c r="AT20">
        <v>418.60300000000001</v>
      </c>
      <c r="AU20">
        <v>463.39</v>
      </c>
      <c r="AV20">
        <v>487.98399999999998</v>
      </c>
      <c r="AW20">
        <v>1034.1220000000001</v>
      </c>
      <c r="AX20">
        <v>745.077</v>
      </c>
      <c r="AY20">
        <v>351.822</v>
      </c>
      <c r="AZ20">
        <v>370.51</v>
      </c>
      <c r="BA20">
        <v>281.74299999999999</v>
      </c>
      <c r="BB20">
        <v>825.06399999999996</v>
      </c>
      <c r="BC20">
        <v>579.22199999999998</v>
      </c>
      <c r="BD20">
        <v>370.81200000000001</v>
      </c>
      <c r="BE20">
        <v>844.28200000000004</v>
      </c>
      <c r="BF20">
        <v>690.08088799999996</v>
      </c>
      <c r="BG20">
        <v>705.100539999999</v>
      </c>
      <c r="BH20">
        <v>496.56975967689101</v>
      </c>
      <c r="BI20">
        <v>515.30731260010396</v>
      </c>
      <c r="BJ20">
        <v>725.03306999999995</v>
      </c>
      <c r="BK20">
        <v>650.64258199999995</v>
      </c>
      <c r="BL20" cm="1">
        <f t="array" ref="BL20">INDEX(R20:W20,0,MATCH($A20,$R$1:$W$1,0))</f>
        <v>0.48187777745433302</v>
      </c>
      <c r="BM20" cm="1">
        <f t="array" ref="BM20">INDEX(AL20:AQ20,0,MATCH($A20,$R$1:$W$1,0))</f>
        <v>15.045136657378</v>
      </c>
      <c r="BN20" cm="1">
        <f t="array" ref="BN20">INDEX(BF20:BK20,0,MATCH($A20,$R$1:$W$1,0))</f>
        <v>496.56975967689101</v>
      </c>
    </row>
    <row r="21" spans="1:66" x14ac:dyDescent="0.35">
      <c r="A21" t="s">
        <v>66</v>
      </c>
      <c r="B21">
        <v>123519</v>
      </c>
      <c r="C21">
        <v>1998</v>
      </c>
      <c r="D21">
        <v>0.505</v>
      </c>
      <c r="E21">
        <v>0.40433333333333299</v>
      </c>
      <c r="F21">
        <v>0.45400000000000001</v>
      </c>
      <c r="G21">
        <v>0.44333333333333302</v>
      </c>
      <c r="H21">
        <v>0.42166666666666602</v>
      </c>
      <c r="I21">
        <v>0.61199999999999999</v>
      </c>
      <c r="J21">
        <v>0.59633333333333305</v>
      </c>
      <c r="K21">
        <v>0.502</v>
      </c>
      <c r="L21">
        <v>0.59599999999999997</v>
      </c>
      <c r="M21">
        <v>0.57933333333333303</v>
      </c>
      <c r="N21">
        <v>0.62633333333333296</v>
      </c>
      <c r="O21">
        <v>0.59966666666666602</v>
      </c>
      <c r="P21">
        <v>0.50366666666666604</v>
      </c>
      <c r="Q21">
        <v>0.61866666666666603</v>
      </c>
      <c r="R21">
        <v>0.61793199999999904</v>
      </c>
      <c r="S21">
        <v>0.58900999999999903</v>
      </c>
      <c r="T21">
        <v>0.48187777745433302</v>
      </c>
      <c r="U21">
        <v>0.50051381065</v>
      </c>
      <c r="V21">
        <v>0.67007499999999998</v>
      </c>
      <c r="W21">
        <v>0.60636666666666605</v>
      </c>
      <c r="X21">
        <v>14.414999999999999</v>
      </c>
      <c r="Y21">
        <v>13.363</v>
      </c>
      <c r="Z21">
        <v>14.263</v>
      </c>
      <c r="AA21">
        <v>15.227</v>
      </c>
      <c r="AB21">
        <v>14.361000000000001</v>
      </c>
      <c r="AC21">
        <v>18.754000000000001</v>
      </c>
      <c r="AD21">
        <v>16.989000000000001</v>
      </c>
      <c r="AE21">
        <v>16.018999999999998</v>
      </c>
      <c r="AF21">
        <v>16.408000000000001</v>
      </c>
      <c r="AG21">
        <v>17.059999999999999</v>
      </c>
      <c r="AH21">
        <v>16.943000000000001</v>
      </c>
      <c r="AI21">
        <v>17.074999999999999</v>
      </c>
      <c r="AJ21">
        <v>13.869</v>
      </c>
      <c r="AK21">
        <v>16.960999999999999</v>
      </c>
      <c r="AL21">
        <v>18.125632</v>
      </c>
      <c r="AM21">
        <v>17.001560000000001</v>
      </c>
      <c r="AN21">
        <v>15.045136657378</v>
      </c>
      <c r="AO21">
        <v>15.483930032544</v>
      </c>
      <c r="AP21">
        <v>19.133590000000002</v>
      </c>
      <c r="AQ21">
        <v>18.272452000000001</v>
      </c>
      <c r="AR21">
        <v>377.32400000000001</v>
      </c>
      <c r="AS21">
        <v>367.31900000000002</v>
      </c>
      <c r="AT21">
        <v>418.60300000000001</v>
      </c>
      <c r="AU21">
        <v>463.39</v>
      </c>
      <c r="AV21">
        <v>487.98399999999998</v>
      </c>
      <c r="AW21">
        <v>1034.1220000000001</v>
      </c>
      <c r="AX21">
        <v>745.077</v>
      </c>
      <c r="AY21">
        <v>351.822</v>
      </c>
      <c r="AZ21">
        <v>370.51</v>
      </c>
      <c r="BA21">
        <v>281.74299999999999</v>
      </c>
      <c r="BB21">
        <v>825.06399999999996</v>
      </c>
      <c r="BC21">
        <v>579.22199999999998</v>
      </c>
      <c r="BD21">
        <v>370.81200000000001</v>
      </c>
      <c r="BE21">
        <v>844.28200000000004</v>
      </c>
      <c r="BF21">
        <v>690.08088799999996</v>
      </c>
      <c r="BG21">
        <v>705.100539999999</v>
      </c>
      <c r="BH21">
        <v>496.56975967689101</v>
      </c>
      <c r="BI21">
        <v>515.30731260010396</v>
      </c>
      <c r="BJ21">
        <v>725.03306999999995</v>
      </c>
      <c r="BK21">
        <v>650.64258199999995</v>
      </c>
      <c r="BL21" cm="1">
        <f t="array" ref="BL21">INDEX(R21:W21,0,MATCH($A21,$R$1:$W$1,0))</f>
        <v>0.67007499999999998</v>
      </c>
      <c r="BM21" cm="1">
        <f t="array" ref="BM21">INDEX(AL21:AQ21,0,MATCH($A21,$R$1:$W$1,0))</f>
        <v>19.133590000000002</v>
      </c>
      <c r="BN21" cm="1">
        <f t="array" ref="BN21">INDEX(BF21:BK21,0,MATCH($A21,$R$1:$W$1,0))</f>
        <v>725.03306999999995</v>
      </c>
    </row>
    <row r="22" spans="1:66" x14ac:dyDescent="0.35">
      <c r="A22" t="s">
        <v>67</v>
      </c>
      <c r="B22">
        <v>119574</v>
      </c>
      <c r="C22">
        <v>1998</v>
      </c>
      <c r="D22">
        <v>0.505</v>
      </c>
      <c r="E22">
        <v>0.40433333333333299</v>
      </c>
      <c r="F22">
        <v>0.45400000000000001</v>
      </c>
      <c r="G22">
        <v>0.44333333333333302</v>
      </c>
      <c r="H22">
        <v>0.42166666666666602</v>
      </c>
      <c r="I22">
        <v>0.61199999999999999</v>
      </c>
      <c r="J22">
        <v>0.59633333333333305</v>
      </c>
      <c r="K22">
        <v>0.502</v>
      </c>
      <c r="L22">
        <v>0.59599999999999997</v>
      </c>
      <c r="M22">
        <v>0.57933333333333303</v>
      </c>
      <c r="N22">
        <v>0.62633333333333296</v>
      </c>
      <c r="O22">
        <v>0.59966666666666602</v>
      </c>
      <c r="P22">
        <v>0.50366666666666604</v>
      </c>
      <c r="Q22">
        <v>0.61866666666666603</v>
      </c>
      <c r="R22">
        <v>0.61793199999999904</v>
      </c>
      <c r="S22">
        <v>0.58900999999999903</v>
      </c>
      <c r="T22">
        <v>0.48187777745433302</v>
      </c>
      <c r="U22">
        <v>0.50051381065</v>
      </c>
      <c r="V22">
        <v>0.67007499999999998</v>
      </c>
      <c r="W22">
        <v>0.60636666666666605</v>
      </c>
      <c r="X22">
        <v>14.414999999999999</v>
      </c>
      <c r="Y22">
        <v>13.363</v>
      </c>
      <c r="Z22">
        <v>14.263</v>
      </c>
      <c r="AA22">
        <v>15.227</v>
      </c>
      <c r="AB22">
        <v>14.361000000000001</v>
      </c>
      <c r="AC22">
        <v>18.754000000000001</v>
      </c>
      <c r="AD22">
        <v>16.989000000000001</v>
      </c>
      <c r="AE22">
        <v>16.018999999999998</v>
      </c>
      <c r="AF22">
        <v>16.408000000000001</v>
      </c>
      <c r="AG22">
        <v>17.059999999999999</v>
      </c>
      <c r="AH22">
        <v>16.943000000000001</v>
      </c>
      <c r="AI22">
        <v>17.074999999999999</v>
      </c>
      <c r="AJ22">
        <v>13.869</v>
      </c>
      <c r="AK22">
        <v>16.960999999999999</v>
      </c>
      <c r="AL22">
        <v>18.125632</v>
      </c>
      <c r="AM22">
        <v>17.001560000000001</v>
      </c>
      <c r="AN22">
        <v>15.045136657378</v>
      </c>
      <c r="AO22">
        <v>15.483930032544</v>
      </c>
      <c r="AP22">
        <v>19.133590000000002</v>
      </c>
      <c r="AQ22">
        <v>18.272452000000001</v>
      </c>
      <c r="AR22">
        <v>377.32400000000001</v>
      </c>
      <c r="AS22">
        <v>367.31900000000002</v>
      </c>
      <c r="AT22">
        <v>418.60300000000001</v>
      </c>
      <c r="AU22">
        <v>463.39</v>
      </c>
      <c r="AV22">
        <v>487.98399999999998</v>
      </c>
      <c r="AW22">
        <v>1034.1220000000001</v>
      </c>
      <c r="AX22">
        <v>745.077</v>
      </c>
      <c r="AY22">
        <v>351.822</v>
      </c>
      <c r="AZ22">
        <v>370.51</v>
      </c>
      <c r="BA22">
        <v>281.74299999999999</v>
      </c>
      <c r="BB22">
        <v>825.06399999999996</v>
      </c>
      <c r="BC22">
        <v>579.22199999999998</v>
      </c>
      <c r="BD22">
        <v>370.81200000000001</v>
      </c>
      <c r="BE22">
        <v>844.28200000000004</v>
      </c>
      <c r="BF22">
        <v>690.08088799999996</v>
      </c>
      <c r="BG22">
        <v>705.100539999999</v>
      </c>
      <c r="BH22">
        <v>496.56975967689101</v>
      </c>
      <c r="BI22">
        <v>515.30731260010396</v>
      </c>
      <c r="BJ22">
        <v>725.03306999999995</v>
      </c>
      <c r="BK22">
        <v>650.64258199999995</v>
      </c>
      <c r="BL22" cm="1">
        <f t="array" ref="BL22">INDEX(R22:W22,0,MATCH($A22,$R$1:$W$1,0))</f>
        <v>0.60636666666666605</v>
      </c>
      <c r="BM22" cm="1">
        <f t="array" ref="BM22">INDEX(AL22:AQ22,0,MATCH($A22,$R$1:$W$1,0))</f>
        <v>18.272452000000001</v>
      </c>
      <c r="BN22" cm="1">
        <f t="array" ref="BN22">INDEX(BF22:BK22,0,MATCH($A22,$R$1:$W$1,0))</f>
        <v>650.64258199999995</v>
      </c>
    </row>
    <row r="23" spans="1:66" x14ac:dyDescent="0.35">
      <c r="A23" t="s">
        <v>63</v>
      </c>
      <c r="B23">
        <v>1014250</v>
      </c>
      <c r="C23">
        <v>1999</v>
      </c>
      <c r="D23">
        <v>0.52433333333333298</v>
      </c>
      <c r="E23">
        <v>0.58933333333333304</v>
      </c>
      <c r="F23">
        <v>0.59566666666666601</v>
      </c>
      <c r="G23">
        <v>0.587666666666666</v>
      </c>
      <c r="H23">
        <v>0.63</v>
      </c>
      <c r="I23">
        <v>0.58199999999999996</v>
      </c>
      <c r="J23">
        <v>0.63200000000000001</v>
      </c>
      <c r="K23">
        <v>0.59066666666666601</v>
      </c>
      <c r="L23">
        <v>0.55633333333333301</v>
      </c>
      <c r="M23">
        <v>0.60233333333333305</v>
      </c>
      <c r="N23">
        <v>0.59466666666666601</v>
      </c>
      <c r="O23">
        <v>0.577666666666666</v>
      </c>
      <c r="P23">
        <v>0.61</v>
      </c>
      <c r="Q23">
        <v>0.546333333333333</v>
      </c>
      <c r="R23">
        <v>0.67807133333333303</v>
      </c>
      <c r="S23">
        <v>0.61280666666666594</v>
      </c>
      <c r="T23">
        <v>0.59868703672466606</v>
      </c>
      <c r="U23">
        <v>0.60183714399866595</v>
      </c>
      <c r="V23">
        <v>0.68532499999999996</v>
      </c>
      <c r="W23">
        <v>0.67949533333333301</v>
      </c>
      <c r="X23">
        <v>18.635000000000002</v>
      </c>
      <c r="Y23">
        <v>19.545000000000002</v>
      </c>
      <c r="Z23">
        <v>20.436</v>
      </c>
      <c r="AA23">
        <v>20.640999999999998</v>
      </c>
      <c r="AB23">
        <v>21.015999999999998</v>
      </c>
      <c r="AC23">
        <v>21.49</v>
      </c>
      <c r="AD23">
        <v>20.617000000000001</v>
      </c>
      <c r="AE23">
        <v>20.643000000000001</v>
      </c>
      <c r="AF23">
        <v>21.273</v>
      </c>
      <c r="AG23">
        <v>20.376000000000001</v>
      </c>
      <c r="AH23">
        <v>20.99</v>
      </c>
      <c r="AI23">
        <v>21.414000000000001</v>
      </c>
      <c r="AJ23">
        <v>19.553999999999998</v>
      </c>
      <c r="AK23">
        <v>19.596</v>
      </c>
      <c r="AL23">
        <v>23.362055999999999</v>
      </c>
      <c r="AM23">
        <v>20.877549999999999</v>
      </c>
      <c r="AN23">
        <v>20.479123322069999</v>
      </c>
      <c r="AO23">
        <v>20.604125754830001</v>
      </c>
      <c r="AP23">
        <v>23.548345000000001</v>
      </c>
      <c r="AQ23">
        <v>23.675778000000001</v>
      </c>
      <c r="AR23">
        <v>522.17200000000003</v>
      </c>
      <c r="AS23">
        <v>558.39700000000005</v>
      </c>
      <c r="AT23">
        <v>679.13400000000001</v>
      </c>
      <c r="AU23">
        <v>694.40700000000004</v>
      </c>
      <c r="AV23">
        <v>774.08100000000002</v>
      </c>
      <c r="AW23">
        <v>1041.2460000000001</v>
      </c>
      <c r="AX23">
        <v>890.86099999999999</v>
      </c>
      <c r="AY23">
        <v>421.59500000000003</v>
      </c>
      <c r="AZ23">
        <v>447.06</v>
      </c>
      <c r="BA23">
        <v>285.44</v>
      </c>
      <c r="BB23">
        <v>1178.626</v>
      </c>
      <c r="BC23">
        <v>691.55</v>
      </c>
      <c r="BD23">
        <v>526.70399999999995</v>
      </c>
      <c r="BE23">
        <v>1378.4359999999999</v>
      </c>
      <c r="BF23">
        <v>931.000584</v>
      </c>
      <c r="BG23">
        <v>841.94349999999895</v>
      </c>
      <c r="BH23">
        <v>719.24912514729397</v>
      </c>
      <c r="BI23">
        <v>712.65678583182103</v>
      </c>
      <c r="BJ23">
        <v>977.44417999999996</v>
      </c>
      <c r="BK23">
        <v>881.07538399999896</v>
      </c>
      <c r="BL23" cm="1">
        <f t="array" ref="BL23">INDEX(R23:W23,0,MATCH($A23,$R$1:$W$1,0))</f>
        <v>0.60183714399866595</v>
      </c>
      <c r="BM23" cm="1">
        <f t="array" ref="BM23">INDEX(AL23:AQ23,0,MATCH($A23,$R$1:$W$1,0))</f>
        <v>20.604125754830001</v>
      </c>
      <c r="BN23" cm="1">
        <f t="array" ref="BN23">INDEX(BF23:BK23,0,MATCH($A23,$R$1:$W$1,0))</f>
        <v>712.65678583182103</v>
      </c>
    </row>
    <row r="24" spans="1:66" x14ac:dyDescent="0.35">
      <c r="A24" t="s">
        <v>64</v>
      </c>
      <c r="B24">
        <v>66132</v>
      </c>
      <c r="C24">
        <v>1999</v>
      </c>
      <c r="D24">
        <v>0.52433333333333298</v>
      </c>
      <c r="E24">
        <v>0.58933333333333304</v>
      </c>
      <c r="F24">
        <v>0.59566666666666601</v>
      </c>
      <c r="G24">
        <v>0.587666666666666</v>
      </c>
      <c r="H24">
        <v>0.63</v>
      </c>
      <c r="I24">
        <v>0.58199999999999996</v>
      </c>
      <c r="J24">
        <v>0.63200000000000001</v>
      </c>
      <c r="K24">
        <v>0.59066666666666601</v>
      </c>
      <c r="L24">
        <v>0.55633333333333301</v>
      </c>
      <c r="M24">
        <v>0.60233333333333305</v>
      </c>
      <c r="N24">
        <v>0.59466666666666601</v>
      </c>
      <c r="O24">
        <v>0.577666666666666</v>
      </c>
      <c r="P24">
        <v>0.61</v>
      </c>
      <c r="Q24">
        <v>0.546333333333333</v>
      </c>
      <c r="R24">
        <v>0.67807133333333303</v>
      </c>
      <c r="S24">
        <v>0.61280666666666594</v>
      </c>
      <c r="T24">
        <v>0.59868703672466606</v>
      </c>
      <c r="U24">
        <v>0.60183714399866595</v>
      </c>
      <c r="V24">
        <v>0.68532499999999996</v>
      </c>
      <c r="W24">
        <v>0.67949533333333301</v>
      </c>
      <c r="X24">
        <v>18.635000000000002</v>
      </c>
      <c r="Y24">
        <v>19.545000000000002</v>
      </c>
      <c r="Z24">
        <v>20.436</v>
      </c>
      <c r="AA24">
        <v>20.640999999999998</v>
      </c>
      <c r="AB24">
        <v>21.015999999999998</v>
      </c>
      <c r="AC24">
        <v>21.49</v>
      </c>
      <c r="AD24">
        <v>20.617000000000001</v>
      </c>
      <c r="AE24">
        <v>20.643000000000001</v>
      </c>
      <c r="AF24">
        <v>21.273</v>
      </c>
      <c r="AG24">
        <v>20.376000000000001</v>
      </c>
      <c r="AH24">
        <v>20.99</v>
      </c>
      <c r="AI24">
        <v>21.414000000000001</v>
      </c>
      <c r="AJ24">
        <v>19.553999999999998</v>
      </c>
      <c r="AK24">
        <v>19.596</v>
      </c>
      <c r="AL24">
        <v>23.362055999999999</v>
      </c>
      <c r="AM24">
        <v>20.877549999999999</v>
      </c>
      <c r="AN24">
        <v>20.479123322069999</v>
      </c>
      <c r="AO24">
        <v>20.604125754830001</v>
      </c>
      <c r="AP24">
        <v>23.548345000000001</v>
      </c>
      <c r="AQ24">
        <v>23.675778000000001</v>
      </c>
      <c r="AR24">
        <v>522.17200000000003</v>
      </c>
      <c r="AS24">
        <v>558.39700000000005</v>
      </c>
      <c r="AT24">
        <v>679.13400000000001</v>
      </c>
      <c r="AU24">
        <v>694.40700000000004</v>
      </c>
      <c r="AV24">
        <v>774.08100000000002</v>
      </c>
      <c r="AW24">
        <v>1041.2460000000001</v>
      </c>
      <c r="AX24">
        <v>890.86099999999999</v>
      </c>
      <c r="AY24">
        <v>421.59500000000003</v>
      </c>
      <c r="AZ24">
        <v>447.06</v>
      </c>
      <c r="BA24">
        <v>285.44</v>
      </c>
      <c r="BB24">
        <v>1178.626</v>
      </c>
      <c r="BC24">
        <v>691.55</v>
      </c>
      <c r="BD24">
        <v>526.70399999999995</v>
      </c>
      <c r="BE24">
        <v>1378.4359999999999</v>
      </c>
      <c r="BF24">
        <v>931.000584</v>
      </c>
      <c r="BG24">
        <v>841.94349999999895</v>
      </c>
      <c r="BH24">
        <v>719.24912514729397</v>
      </c>
      <c r="BI24">
        <v>712.65678583182103</v>
      </c>
      <c r="BJ24">
        <v>977.44417999999996</v>
      </c>
      <c r="BK24">
        <v>881.07538399999896</v>
      </c>
      <c r="BL24" cm="1">
        <f t="array" ref="BL24">INDEX(R24:W24,0,MATCH($A24,$R$1:$W$1,0))</f>
        <v>0.67807133333333303</v>
      </c>
      <c r="BM24" cm="1">
        <f t="array" ref="BM24">INDEX(AL24:AQ24,0,MATCH($A24,$R$1:$W$1,0))</f>
        <v>23.362055999999999</v>
      </c>
      <c r="BN24" cm="1">
        <f t="array" ref="BN24">INDEX(BF24:BK24,0,MATCH($A24,$R$1:$W$1,0))</f>
        <v>931.000584</v>
      </c>
    </row>
    <row r="25" spans="1:66" x14ac:dyDescent="0.35">
      <c r="A25" t="s">
        <v>65</v>
      </c>
      <c r="B25">
        <v>675000</v>
      </c>
      <c r="C25">
        <v>1999</v>
      </c>
      <c r="D25">
        <v>0.52433333333333298</v>
      </c>
      <c r="E25">
        <v>0.58933333333333304</v>
      </c>
      <c r="F25">
        <v>0.59566666666666601</v>
      </c>
      <c r="G25">
        <v>0.587666666666666</v>
      </c>
      <c r="H25">
        <v>0.63</v>
      </c>
      <c r="I25">
        <v>0.58199999999999996</v>
      </c>
      <c r="J25">
        <v>0.63200000000000001</v>
      </c>
      <c r="K25">
        <v>0.59066666666666601</v>
      </c>
      <c r="L25">
        <v>0.55633333333333301</v>
      </c>
      <c r="M25">
        <v>0.60233333333333305</v>
      </c>
      <c r="N25">
        <v>0.59466666666666601</v>
      </c>
      <c r="O25">
        <v>0.577666666666666</v>
      </c>
      <c r="P25">
        <v>0.61</v>
      </c>
      <c r="Q25">
        <v>0.546333333333333</v>
      </c>
      <c r="R25">
        <v>0.67807133333333303</v>
      </c>
      <c r="S25">
        <v>0.61280666666666594</v>
      </c>
      <c r="T25">
        <v>0.59868703672466606</v>
      </c>
      <c r="U25">
        <v>0.60183714399866595</v>
      </c>
      <c r="V25">
        <v>0.68532499999999996</v>
      </c>
      <c r="W25">
        <v>0.67949533333333301</v>
      </c>
      <c r="X25">
        <v>18.635000000000002</v>
      </c>
      <c r="Y25">
        <v>19.545000000000002</v>
      </c>
      <c r="Z25">
        <v>20.436</v>
      </c>
      <c r="AA25">
        <v>20.640999999999998</v>
      </c>
      <c r="AB25">
        <v>21.015999999999998</v>
      </c>
      <c r="AC25">
        <v>21.49</v>
      </c>
      <c r="AD25">
        <v>20.617000000000001</v>
      </c>
      <c r="AE25">
        <v>20.643000000000001</v>
      </c>
      <c r="AF25">
        <v>21.273</v>
      </c>
      <c r="AG25">
        <v>20.376000000000001</v>
      </c>
      <c r="AH25">
        <v>20.99</v>
      </c>
      <c r="AI25">
        <v>21.414000000000001</v>
      </c>
      <c r="AJ25">
        <v>19.553999999999998</v>
      </c>
      <c r="AK25">
        <v>19.596</v>
      </c>
      <c r="AL25">
        <v>23.362055999999999</v>
      </c>
      <c r="AM25">
        <v>20.877549999999999</v>
      </c>
      <c r="AN25">
        <v>20.479123322069999</v>
      </c>
      <c r="AO25">
        <v>20.604125754830001</v>
      </c>
      <c r="AP25">
        <v>23.548345000000001</v>
      </c>
      <c r="AQ25">
        <v>23.675778000000001</v>
      </c>
      <c r="AR25">
        <v>522.17200000000003</v>
      </c>
      <c r="AS25">
        <v>558.39700000000005</v>
      </c>
      <c r="AT25">
        <v>679.13400000000001</v>
      </c>
      <c r="AU25">
        <v>694.40700000000004</v>
      </c>
      <c r="AV25">
        <v>774.08100000000002</v>
      </c>
      <c r="AW25">
        <v>1041.2460000000001</v>
      </c>
      <c r="AX25">
        <v>890.86099999999999</v>
      </c>
      <c r="AY25">
        <v>421.59500000000003</v>
      </c>
      <c r="AZ25">
        <v>447.06</v>
      </c>
      <c r="BA25">
        <v>285.44</v>
      </c>
      <c r="BB25">
        <v>1178.626</v>
      </c>
      <c r="BC25">
        <v>691.55</v>
      </c>
      <c r="BD25">
        <v>526.70399999999995</v>
      </c>
      <c r="BE25">
        <v>1378.4359999999999</v>
      </c>
      <c r="BF25">
        <v>931.000584</v>
      </c>
      <c r="BG25">
        <v>841.94349999999895</v>
      </c>
      <c r="BH25">
        <v>719.24912514729397</v>
      </c>
      <c r="BI25">
        <v>712.65678583182103</v>
      </c>
      <c r="BJ25">
        <v>977.44417999999996</v>
      </c>
      <c r="BK25">
        <v>881.07538399999896</v>
      </c>
      <c r="BL25" cm="1">
        <f t="array" ref="BL25">INDEX(R25:W25,0,MATCH($A25,$R$1:$W$1,0))</f>
        <v>0.59868703672466606</v>
      </c>
      <c r="BM25" cm="1">
        <f t="array" ref="BM25">INDEX(AL25:AQ25,0,MATCH($A25,$R$1:$W$1,0))</f>
        <v>20.479123322069999</v>
      </c>
      <c r="BN25" cm="1">
        <f t="array" ref="BN25">INDEX(BF25:BK25,0,MATCH($A25,$R$1:$W$1,0))</f>
        <v>719.24912514729397</v>
      </c>
    </row>
    <row r="26" spans="1:66" x14ac:dyDescent="0.35">
      <c r="A26" t="s">
        <v>66</v>
      </c>
      <c r="B26">
        <v>364000</v>
      </c>
      <c r="C26">
        <v>1999</v>
      </c>
      <c r="D26">
        <v>0.52433333333333298</v>
      </c>
      <c r="E26">
        <v>0.58933333333333304</v>
      </c>
      <c r="F26">
        <v>0.59566666666666601</v>
      </c>
      <c r="G26">
        <v>0.587666666666666</v>
      </c>
      <c r="H26">
        <v>0.63</v>
      </c>
      <c r="I26">
        <v>0.58199999999999996</v>
      </c>
      <c r="J26">
        <v>0.63200000000000001</v>
      </c>
      <c r="K26">
        <v>0.59066666666666601</v>
      </c>
      <c r="L26">
        <v>0.55633333333333301</v>
      </c>
      <c r="M26">
        <v>0.60233333333333305</v>
      </c>
      <c r="N26">
        <v>0.59466666666666601</v>
      </c>
      <c r="O26">
        <v>0.577666666666666</v>
      </c>
      <c r="P26">
        <v>0.61</v>
      </c>
      <c r="Q26">
        <v>0.546333333333333</v>
      </c>
      <c r="R26">
        <v>0.67807133333333303</v>
      </c>
      <c r="S26">
        <v>0.61280666666666594</v>
      </c>
      <c r="T26">
        <v>0.59868703672466606</v>
      </c>
      <c r="U26">
        <v>0.60183714399866595</v>
      </c>
      <c r="V26">
        <v>0.68532499999999996</v>
      </c>
      <c r="W26">
        <v>0.67949533333333301</v>
      </c>
      <c r="X26">
        <v>18.635000000000002</v>
      </c>
      <c r="Y26">
        <v>19.545000000000002</v>
      </c>
      <c r="Z26">
        <v>20.436</v>
      </c>
      <c r="AA26">
        <v>20.640999999999998</v>
      </c>
      <c r="AB26">
        <v>21.015999999999998</v>
      </c>
      <c r="AC26">
        <v>21.49</v>
      </c>
      <c r="AD26">
        <v>20.617000000000001</v>
      </c>
      <c r="AE26">
        <v>20.643000000000001</v>
      </c>
      <c r="AF26">
        <v>21.273</v>
      </c>
      <c r="AG26">
        <v>20.376000000000001</v>
      </c>
      <c r="AH26">
        <v>20.99</v>
      </c>
      <c r="AI26">
        <v>21.414000000000001</v>
      </c>
      <c r="AJ26">
        <v>19.553999999999998</v>
      </c>
      <c r="AK26">
        <v>19.596</v>
      </c>
      <c r="AL26">
        <v>23.362055999999999</v>
      </c>
      <c r="AM26">
        <v>20.877549999999999</v>
      </c>
      <c r="AN26">
        <v>20.479123322069999</v>
      </c>
      <c r="AO26">
        <v>20.604125754830001</v>
      </c>
      <c r="AP26">
        <v>23.548345000000001</v>
      </c>
      <c r="AQ26">
        <v>23.675778000000001</v>
      </c>
      <c r="AR26">
        <v>522.17200000000003</v>
      </c>
      <c r="AS26">
        <v>558.39700000000005</v>
      </c>
      <c r="AT26">
        <v>679.13400000000001</v>
      </c>
      <c r="AU26">
        <v>694.40700000000004</v>
      </c>
      <c r="AV26">
        <v>774.08100000000002</v>
      </c>
      <c r="AW26">
        <v>1041.2460000000001</v>
      </c>
      <c r="AX26">
        <v>890.86099999999999</v>
      </c>
      <c r="AY26">
        <v>421.59500000000003</v>
      </c>
      <c r="AZ26">
        <v>447.06</v>
      </c>
      <c r="BA26">
        <v>285.44</v>
      </c>
      <c r="BB26">
        <v>1178.626</v>
      </c>
      <c r="BC26">
        <v>691.55</v>
      </c>
      <c r="BD26">
        <v>526.70399999999995</v>
      </c>
      <c r="BE26">
        <v>1378.4359999999999</v>
      </c>
      <c r="BF26">
        <v>931.000584</v>
      </c>
      <c r="BG26">
        <v>841.94349999999895</v>
      </c>
      <c r="BH26">
        <v>719.24912514729397</v>
      </c>
      <c r="BI26">
        <v>712.65678583182103</v>
      </c>
      <c r="BJ26">
        <v>977.44417999999996</v>
      </c>
      <c r="BK26">
        <v>881.07538399999896</v>
      </c>
      <c r="BL26" cm="1">
        <f t="array" ref="BL26">INDEX(R26:W26,0,MATCH($A26,$R$1:$W$1,0))</f>
        <v>0.68532499999999996</v>
      </c>
      <c r="BM26" cm="1">
        <f t="array" ref="BM26">INDEX(AL26:AQ26,0,MATCH($A26,$R$1:$W$1,0))</f>
        <v>23.548345000000001</v>
      </c>
      <c r="BN26" cm="1">
        <f t="array" ref="BN26">INDEX(BF26:BK26,0,MATCH($A26,$R$1:$W$1,0))</f>
        <v>977.44417999999996</v>
      </c>
    </row>
    <row r="27" spans="1:66" x14ac:dyDescent="0.35">
      <c r="A27" t="s">
        <v>67</v>
      </c>
      <c r="B27">
        <v>147444</v>
      </c>
      <c r="C27">
        <v>1999</v>
      </c>
      <c r="D27">
        <v>0.52433333333333298</v>
      </c>
      <c r="E27">
        <v>0.58933333333333304</v>
      </c>
      <c r="F27">
        <v>0.59566666666666601</v>
      </c>
      <c r="G27">
        <v>0.587666666666666</v>
      </c>
      <c r="H27">
        <v>0.63</v>
      </c>
      <c r="I27">
        <v>0.58199999999999996</v>
      </c>
      <c r="J27">
        <v>0.63200000000000001</v>
      </c>
      <c r="K27">
        <v>0.59066666666666601</v>
      </c>
      <c r="L27">
        <v>0.55633333333333301</v>
      </c>
      <c r="M27">
        <v>0.60233333333333305</v>
      </c>
      <c r="N27">
        <v>0.59466666666666601</v>
      </c>
      <c r="O27">
        <v>0.577666666666666</v>
      </c>
      <c r="P27">
        <v>0.61</v>
      </c>
      <c r="Q27">
        <v>0.546333333333333</v>
      </c>
      <c r="R27">
        <v>0.67807133333333303</v>
      </c>
      <c r="S27">
        <v>0.61280666666666594</v>
      </c>
      <c r="T27">
        <v>0.59868703672466606</v>
      </c>
      <c r="U27">
        <v>0.60183714399866595</v>
      </c>
      <c r="V27">
        <v>0.68532499999999996</v>
      </c>
      <c r="W27">
        <v>0.67949533333333301</v>
      </c>
      <c r="X27">
        <v>18.635000000000002</v>
      </c>
      <c r="Y27">
        <v>19.545000000000002</v>
      </c>
      <c r="Z27">
        <v>20.436</v>
      </c>
      <c r="AA27">
        <v>20.640999999999998</v>
      </c>
      <c r="AB27">
        <v>21.015999999999998</v>
      </c>
      <c r="AC27">
        <v>21.49</v>
      </c>
      <c r="AD27">
        <v>20.617000000000001</v>
      </c>
      <c r="AE27">
        <v>20.643000000000001</v>
      </c>
      <c r="AF27">
        <v>21.273</v>
      </c>
      <c r="AG27">
        <v>20.376000000000001</v>
      </c>
      <c r="AH27">
        <v>20.99</v>
      </c>
      <c r="AI27">
        <v>21.414000000000001</v>
      </c>
      <c r="AJ27">
        <v>19.553999999999998</v>
      </c>
      <c r="AK27">
        <v>19.596</v>
      </c>
      <c r="AL27">
        <v>23.362055999999999</v>
      </c>
      <c r="AM27">
        <v>20.877549999999999</v>
      </c>
      <c r="AN27">
        <v>20.479123322069999</v>
      </c>
      <c r="AO27">
        <v>20.604125754830001</v>
      </c>
      <c r="AP27">
        <v>23.548345000000001</v>
      </c>
      <c r="AQ27">
        <v>23.675778000000001</v>
      </c>
      <c r="AR27">
        <v>522.17200000000003</v>
      </c>
      <c r="AS27">
        <v>558.39700000000005</v>
      </c>
      <c r="AT27">
        <v>679.13400000000001</v>
      </c>
      <c r="AU27">
        <v>694.40700000000004</v>
      </c>
      <c r="AV27">
        <v>774.08100000000002</v>
      </c>
      <c r="AW27">
        <v>1041.2460000000001</v>
      </c>
      <c r="AX27">
        <v>890.86099999999999</v>
      </c>
      <c r="AY27">
        <v>421.59500000000003</v>
      </c>
      <c r="AZ27">
        <v>447.06</v>
      </c>
      <c r="BA27">
        <v>285.44</v>
      </c>
      <c r="BB27">
        <v>1178.626</v>
      </c>
      <c r="BC27">
        <v>691.55</v>
      </c>
      <c r="BD27">
        <v>526.70399999999995</v>
      </c>
      <c r="BE27">
        <v>1378.4359999999999</v>
      </c>
      <c r="BF27">
        <v>931.000584</v>
      </c>
      <c r="BG27">
        <v>841.94349999999895</v>
      </c>
      <c r="BH27">
        <v>719.24912514729397</v>
      </c>
      <c r="BI27">
        <v>712.65678583182103</v>
      </c>
      <c r="BJ27">
        <v>977.44417999999996</v>
      </c>
      <c r="BK27">
        <v>881.07538399999896</v>
      </c>
      <c r="BL27" cm="1">
        <f t="array" ref="BL27">INDEX(R27:W27,0,MATCH($A27,$R$1:$W$1,0))</f>
        <v>0.67949533333333301</v>
      </c>
      <c r="BM27" cm="1">
        <f t="array" ref="BM27">INDEX(AL27:AQ27,0,MATCH($A27,$R$1:$W$1,0))</f>
        <v>23.675778000000001</v>
      </c>
      <c r="BN27" cm="1">
        <f t="array" ref="BN27">INDEX(BF27:BK27,0,MATCH($A27,$R$1:$W$1,0))</f>
        <v>881.07538399999896</v>
      </c>
    </row>
    <row r="28" spans="1:66" x14ac:dyDescent="0.35">
      <c r="A28" t="s">
        <v>63</v>
      </c>
      <c r="B28">
        <v>1061540</v>
      </c>
      <c r="C28">
        <v>2000</v>
      </c>
      <c r="D28">
        <v>0.61</v>
      </c>
      <c r="E28">
        <v>0.57333333333333303</v>
      </c>
      <c r="F28">
        <v>0.54666666666666597</v>
      </c>
      <c r="G28">
        <v>0.541333333333333</v>
      </c>
      <c r="H28">
        <v>0.55100000000000005</v>
      </c>
      <c r="I28">
        <v>0.59399999999999997</v>
      </c>
      <c r="J28">
        <v>0.52400000000000002</v>
      </c>
      <c r="K28">
        <v>0.57933333333333303</v>
      </c>
      <c r="L28">
        <v>0.54266666666666596</v>
      </c>
      <c r="M28">
        <v>0.52200000000000002</v>
      </c>
      <c r="N28">
        <v>0.51466666666666605</v>
      </c>
      <c r="O28">
        <v>0.54400000000000004</v>
      </c>
      <c r="P28">
        <v>0.59099999999999997</v>
      </c>
      <c r="Q28">
        <v>0.50466666666666604</v>
      </c>
      <c r="R28">
        <v>0.60925333333333298</v>
      </c>
      <c r="S28">
        <v>0.53424333333333296</v>
      </c>
      <c r="T28">
        <v>0.54626148117333295</v>
      </c>
      <c r="U28">
        <v>0.54836476300799997</v>
      </c>
      <c r="V28">
        <v>0.60756666666666603</v>
      </c>
      <c r="W28">
        <v>0.62163533333333298</v>
      </c>
      <c r="X28">
        <v>17.251000000000001</v>
      </c>
      <c r="Y28">
        <v>19.109000000000002</v>
      </c>
      <c r="Z28">
        <v>18.277000000000001</v>
      </c>
      <c r="AA28">
        <v>19.617999999999999</v>
      </c>
      <c r="AB28">
        <v>19.274999999999999</v>
      </c>
      <c r="AC28">
        <v>17.934999999999999</v>
      </c>
      <c r="AD28">
        <v>20.178000000000001</v>
      </c>
      <c r="AE28">
        <v>19.273</v>
      </c>
      <c r="AF28">
        <v>19.381</v>
      </c>
      <c r="AG28">
        <v>17.370999999999999</v>
      </c>
      <c r="AH28">
        <v>20.550999999999998</v>
      </c>
      <c r="AI28">
        <v>19.367999999999999</v>
      </c>
      <c r="AJ28">
        <v>18.254000000000001</v>
      </c>
      <c r="AK28">
        <v>18.369</v>
      </c>
      <c r="AL28">
        <v>21.917922000000001</v>
      </c>
      <c r="AM28">
        <v>19.80762</v>
      </c>
      <c r="AN28">
        <v>19.168341101077001</v>
      </c>
      <c r="AO28">
        <v>19.231198608562</v>
      </c>
      <c r="AP28">
        <v>22.039995000000001</v>
      </c>
      <c r="AQ28">
        <v>22.159739999999999</v>
      </c>
      <c r="AR28">
        <v>456.46</v>
      </c>
      <c r="AS28">
        <v>346.94299999999998</v>
      </c>
      <c r="AT28">
        <v>486.68099999999998</v>
      </c>
      <c r="AU28">
        <v>400.459</v>
      </c>
      <c r="AV28">
        <v>549.07399999999996</v>
      </c>
      <c r="AW28">
        <v>648.23199999999997</v>
      </c>
      <c r="AX28">
        <v>439.27600000000001</v>
      </c>
      <c r="AY28">
        <v>273.76100000000002</v>
      </c>
      <c r="AZ28">
        <v>361.48399999999998</v>
      </c>
      <c r="BA28">
        <v>200.72</v>
      </c>
      <c r="BB28">
        <v>744.45699999999999</v>
      </c>
      <c r="BC28">
        <v>396.964</v>
      </c>
      <c r="BD28">
        <v>423.28699999999998</v>
      </c>
      <c r="BE28">
        <v>922.71699999999998</v>
      </c>
      <c r="BF28">
        <v>578.977486</v>
      </c>
      <c r="BG28">
        <v>443.4443</v>
      </c>
      <c r="BH28">
        <v>460.79083749004297</v>
      </c>
      <c r="BI28">
        <v>445.57047105171802</v>
      </c>
      <c r="BJ28">
        <v>605.09551499999998</v>
      </c>
      <c r="BK28">
        <v>543.00243</v>
      </c>
      <c r="BL28" cm="1">
        <f t="array" ref="BL28">INDEX(R28:W28,0,MATCH($A28,$R$1:$W$1,0))</f>
        <v>0.54836476300799997</v>
      </c>
      <c r="BM28" cm="1">
        <f t="array" ref="BM28">INDEX(AL28:AQ28,0,MATCH($A28,$R$1:$W$1,0))</f>
        <v>19.231198608562</v>
      </c>
      <c r="BN28" cm="1">
        <f t="array" ref="BN28">INDEX(BF28:BK28,0,MATCH($A28,$R$1:$W$1,0))</f>
        <v>445.57047105171802</v>
      </c>
    </row>
    <row r="29" spans="1:66" x14ac:dyDescent="0.35">
      <c r="A29" t="s">
        <v>64</v>
      </c>
      <c r="B29">
        <v>78593</v>
      </c>
      <c r="C29">
        <v>2000</v>
      </c>
      <c r="D29">
        <v>0.61</v>
      </c>
      <c r="E29">
        <v>0.57333333333333303</v>
      </c>
      <c r="F29">
        <v>0.54666666666666597</v>
      </c>
      <c r="G29">
        <v>0.541333333333333</v>
      </c>
      <c r="H29">
        <v>0.55100000000000005</v>
      </c>
      <c r="I29">
        <v>0.59399999999999997</v>
      </c>
      <c r="J29">
        <v>0.52400000000000002</v>
      </c>
      <c r="K29">
        <v>0.57933333333333303</v>
      </c>
      <c r="L29">
        <v>0.54266666666666596</v>
      </c>
      <c r="M29">
        <v>0.52200000000000002</v>
      </c>
      <c r="N29">
        <v>0.51466666666666605</v>
      </c>
      <c r="O29">
        <v>0.54400000000000004</v>
      </c>
      <c r="P29">
        <v>0.59099999999999997</v>
      </c>
      <c r="Q29">
        <v>0.50466666666666604</v>
      </c>
      <c r="R29">
        <v>0.60925333333333298</v>
      </c>
      <c r="S29">
        <v>0.53424333333333296</v>
      </c>
      <c r="T29">
        <v>0.54626148117333295</v>
      </c>
      <c r="U29">
        <v>0.54836476300799997</v>
      </c>
      <c r="V29">
        <v>0.60756666666666603</v>
      </c>
      <c r="W29">
        <v>0.62163533333333298</v>
      </c>
      <c r="X29">
        <v>17.251000000000001</v>
      </c>
      <c r="Y29">
        <v>19.109000000000002</v>
      </c>
      <c r="Z29">
        <v>18.277000000000001</v>
      </c>
      <c r="AA29">
        <v>19.617999999999999</v>
      </c>
      <c r="AB29">
        <v>19.274999999999999</v>
      </c>
      <c r="AC29">
        <v>17.934999999999999</v>
      </c>
      <c r="AD29">
        <v>20.178000000000001</v>
      </c>
      <c r="AE29">
        <v>19.273</v>
      </c>
      <c r="AF29">
        <v>19.381</v>
      </c>
      <c r="AG29">
        <v>17.370999999999999</v>
      </c>
      <c r="AH29">
        <v>20.550999999999998</v>
      </c>
      <c r="AI29">
        <v>19.367999999999999</v>
      </c>
      <c r="AJ29">
        <v>18.254000000000001</v>
      </c>
      <c r="AK29">
        <v>18.369</v>
      </c>
      <c r="AL29">
        <v>21.917922000000001</v>
      </c>
      <c r="AM29">
        <v>19.80762</v>
      </c>
      <c r="AN29">
        <v>19.168341101077001</v>
      </c>
      <c r="AO29">
        <v>19.231198608562</v>
      </c>
      <c r="AP29">
        <v>22.039995000000001</v>
      </c>
      <c r="AQ29">
        <v>22.159739999999999</v>
      </c>
      <c r="AR29">
        <v>456.46</v>
      </c>
      <c r="AS29">
        <v>346.94299999999998</v>
      </c>
      <c r="AT29">
        <v>486.68099999999998</v>
      </c>
      <c r="AU29">
        <v>400.459</v>
      </c>
      <c r="AV29">
        <v>549.07399999999996</v>
      </c>
      <c r="AW29">
        <v>648.23199999999997</v>
      </c>
      <c r="AX29">
        <v>439.27600000000001</v>
      </c>
      <c r="AY29">
        <v>273.76100000000002</v>
      </c>
      <c r="AZ29">
        <v>361.48399999999998</v>
      </c>
      <c r="BA29">
        <v>200.72</v>
      </c>
      <c r="BB29">
        <v>744.45699999999999</v>
      </c>
      <c r="BC29">
        <v>396.964</v>
      </c>
      <c r="BD29">
        <v>423.28699999999998</v>
      </c>
      <c r="BE29">
        <v>922.71699999999998</v>
      </c>
      <c r="BF29">
        <v>578.977486</v>
      </c>
      <c r="BG29">
        <v>443.4443</v>
      </c>
      <c r="BH29">
        <v>460.79083749004297</v>
      </c>
      <c r="BI29">
        <v>445.57047105171802</v>
      </c>
      <c r="BJ29">
        <v>605.09551499999998</v>
      </c>
      <c r="BK29">
        <v>543.00243</v>
      </c>
      <c r="BL29" cm="1">
        <f t="array" ref="BL29">INDEX(R29:W29,0,MATCH($A29,$R$1:$W$1,0))</f>
        <v>0.60925333333333298</v>
      </c>
      <c r="BM29" cm="1">
        <f t="array" ref="BM29">INDEX(AL29:AQ29,0,MATCH($A29,$R$1:$W$1,0))</f>
        <v>21.917922000000001</v>
      </c>
      <c r="BN29" cm="1">
        <f t="array" ref="BN29">INDEX(BF29:BK29,0,MATCH($A29,$R$1:$W$1,0))</f>
        <v>578.977486</v>
      </c>
    </row>
    <row r="30" spans="1:66" x14ac:dyDescent="0.35">
      <c r="A30" t="s">
        <v>65</v>
      </c>
      <c r="B30">
        <v>600221</v>
      </c>
      <c r="C30">
        <v>2000</v>
      </c>
      <c r="D30">
        <v>0.61</v>
      </c>
      <c r="E30">
        <v>0.57333333333333303</v>
      </c>
      <c r="F30">
        <v>0.54666666666666597</v>
      </c>
      <c r="G30">
        <v>0.541333333333333</v>
      </c>
      <c r="H30">
        <v>0.55100000000000005</v>
      </c>
      <c r="I30">
        <v>0.59399999999999997</v>
      </c>
      <c r="J30">
        <v>0.52400000000000002</v>
      </c>
      <c r="K30">
        <v>0.57933333333333303</v>
      </c>
      <c r="L30">
        <v>0.54266666666666596</v>
      </c>
      <c r="M30">
        <v>0.52200000000000002</v>
      </c>
      <c r="N30">
        <v>0.51466666666666605</v>
      </c>
      <c r="O30">
        <v>0.54400000000000004</v>
      </c>
      <c r="P30">
        <v>0.59099999999999997</v>
      </c>
      <c r="Q30">
        <v>0.50466666666666604</v>
      </c>
      <c r="R30">
        <v>0.60925333333333298</v>
      </c>
      <c r="S30">
        <v>0.53424333333333296</v>
      </c>
      <c r="T30">
        <v>0.54626148117333295</v>
      </c>
      <c r="U30">
        <v>0.54836476300799997</v>
      </c>
      <c r="V30">
        <v>0.60756666666666603</v>
      </c>
      <c r="W30">
        <v>0.62163533333333298</v>
      </c>
      <c r="X30">
        <v>17.251000000000001</v>
      </c>
      <c r="Y30">
        <v>19.109000000000002</v>
      </c>
      <c r="Z30">
        <v>18.277000000000001</v>
      </c>
      <c r="AA30">
        <v>19.617999999999999</v>
      </c>
      <c r="AB30">
        <v>19.274999999999999</v>
      </c>
      <c r="AC30">
        <v>17.934999999999999</v>
      </c>
      <c r="AD30">
        <v>20.178000000000001</v>
      </c>
      <c r="AE30">
        <v>19.273</v>
      </c>
      <c r="AF30">
        <v>19.381</v>
      </c>
      <c r="AG30">
        <v>17.370999999999999</v>
      </c>
      <c r="AH30">
        <v>20.550999999999998</v>
      </c>
      <c r="AI30">
        <v>19.367999999999999</v>
      </c>
      <c r="AJ30">
        <v>18.254000000000001</v>
      </c>
      <c r="AK30">
        <v>18.369</v>
      </c>
      <c r="AL30">
        <v>21.917922000000001</v>
      </c>
      <c r="AM30">
        <v>19.80762</v>
      </c>
      <c r="AN30">
        <v>19.168341101077001</v>
      </c>
      <c r="AO30">
        <v>19.231198608562</v>
      </c>
      <c r="AP30">
        <v>22.039995000000001</v>
      </c>
      <c r="AQ30">
        <v>22.159739999999999</v>
      </c>
      <c r="AR30">
        <v>456.46</v>
      </c>
      <c r="AS30">
        <v>346.94299999999998</v>
      </c>
      <c r="AT30">
        <v>486.68099999999998</v>
      </c>
      <c r="AU30">
        <v>400.459</v>
      </c>
      <c r="AV30">
        <v>549.07399999999996</v>
      </c>
      <c r="AW30">
        <v>648.23199999999997</v>
      </c>
      <c r="AX30">
        <v>439.27600000000001</v>
      </c>
      <c r="AY30">
        <v>273.76100000000002</v>
      </c>
      <c r="AZ30">
        <v>361.48399999999998</v>
      </c>
      <c r="BA30">
        <v>200.72</v>
      </c>
      <c r="BB30">
        <v>744.45699999999999</v>
      </c>
      <c r="BC30">
        <v>396.964</v>
      </c>
      <c r="BD30">
        <v>423.28699999999998</v>
      </c>
      <c r="BE30">
        <v>922.71699999999998</v>
      </c>
      <c r="BF30">
        <v>578.977486</v>
      </c>
      <c r="BG30">
        <v>443.4443</v>
      </c>
      <c r="BH30">
        <v>460.79083749004297</v>
      </c>
      <c r="BI30">
        <v>445.57047105171802</v>
      </c>
      <c r="BJ30">
        <v>605.09551499999998</v>
      </c>
      <c r="BK30">
        <v>543.00243</v>
      </c>
      <c r="BL30" cm="1">
        <f t="array" ref="BL30">INDEX(R30:W30,0,MATCH($A30,$R$1:$W$1,0))</f>
        <v>0.54626148117333295</v>
      </c>
      <c r="BM30" cm="1">
        <f t="array" ref="BM30">INDEX(AL30:AQ30,0,MATCH($A30,$R$1:$W$1,0))</f>
        <v>19.168341101077001</v>
      </c>
      <c r="BN30" cm="1">
        <f t="array" ref="BN30">INDEX(BF30:BK30,0,MATCH($A30,$R$1:$W$1,0))</f>
        <v>460.79083749004297</v>
      </c>
    </row>
    <row r="31" spans="1:66" x14ac:dyDescent="0.35">
      <c r="A31" t="s">
        <v>66</v>
      </c>
      <c r="B31">
        <v>202293</v>
      </c>
      <c r="C31">
        <v>2000</v>
      </c>
      <c r="D31">
        <v>0.61</v>
      </c>
      <c r="E31">
        <v>0.57333333333333303</v>
      </c>
      <c r="F31">
        <v>0.54666666666666597</v>
      </c>
      <c r="G31">
        <v>0.541333333333333</v>
      </c>
      <c r="H31">
        <v>0.55100000000000005</v>
      </c>
      <c r="I31">
        <v>0.59399999999999997</v>
      </c>
      <c r="J31">
        <v>0.52400000000000002</v>
      </c>
      <c r="K31">
        <v>0.57933333333333303</v>
      </c>
      <c r="L31">
        <v>0.54266666666666596</v>
      </c>
      <c r="M31">
        <v>0.52200000000000002</v>
      </c>
      <c r="N31">
        <v>0.51466666666666605</v>
      </c>
      <c r="O31">
        <v>0.54400000000000004</v>
      </c>
      <c r="P31">
        <v>0.59099999999999997</v>
      </c>
      <c r="Q31">
        <v>0.50466666666666604</v>
      </c>
      <c r="R31">
        <v>0.60925333333333298</v>
      </c>
      <c r="S31">
        <v>0.53424333333333296</v>
      </c>
      <c r="T31">
        <v>0.54626148117333295</v>
      </c>
      <c r="U31">
        <v>0.54836476300799997</v>
      </c>
      <c r="V31">
        <v>0.60756666666666603</v>
      </c>
      <c r="W31">
        <v>0.62163533333333298</v>
      </c>
      <c r="X31">
        <v>17.251000000000001</v>
      </c>
      <c r="Y31">
        <v>19.109000000000002</v>
      </c>
      <c r="Z31">
        <v>18.277000000000001</v>
      </c>
      <c r="AA31">
        <v>19.617999999999999</v>
      </c>
      <c r="AB31">
        <v>19.274999999999999</v>
      </c>
      <c r="AC31">
        <v>17.934999999999999</v>
      </c>
      <c r="AD31">
        <v>20.178000000000001</v>
      </c>
      <c r="AE31">
        <v>19.273</v>
      </c>
      <c r="AF31">
        <v>19.381</v>
      </c>
      <c r="AG31">
        <v>17.370999999999999</v>
      </c>
      <c r="AH31">
        <v>20.550999999999998</v>
      </c>
      <c r="AI31">
        <v>19.367999999999999</v>
      </c>
      <c r="AJ31">
        <v>18.254000000000001</v>
      </c>
      <c r="AK31">
        <v>18.369</v>
      </c>
      <c r="AL31">
        <v>21.917922000000001</v>
      </c>
      <c r="AM31">
        <v>19.80762</v>
      </c>
      <c r="AN31">
        <v>19.168341101077001</v>
      </c>
      <c r="AO31">
        <v>19.231198608562</v>
      </c>
      <c r="AP31">
        <v>22.039995000000001</v>
      </c>
      <c r="AQ31">
        <v>22.159739999999999</v>
      </c>
      <c r="AR31">
        <v>456.46</v>
      </c>
      <c r="AS31">
        <v>346.94299999999998</v>
      </c>
      <c r="AT31">
        <v>486.68099999999998</v>
      </c>
      <c r="AU31">
        <v>400.459</v>
      </c>
      <c r="AV31">
        <v>549.07399999999996</v>
      </c>
      <c r="AW31">
        <v>648.23199999999997</v>
      </c>
      <c r="AX31">
        <v>439.27600000000001</v>
      </c>
      <c r="AY31">
        <v>273.76100000000002</v>
      </c>
      <c r="AZ31">
        <v>361.48399999999998</v>
      </c>
      <c r="BA31">
        <v>200.72</v>
      </c>
      <c r="BB31">
        <v>744.45699999999999</v>
      </c>
      <c r="BC31">
        <v>396.964</v>
      </c>
      <c r="BD31">
        <v>423.28699999999998</v>
      </c>
      <c r="BE31">
        <v>922.71699999999998</v>
      </c>
      <c r="BF31">
        <v>578.977486</v>
      </c>
      <c r="BG31">
        <v>443.4443</v>
      </c>
      <c r="BH31">
        <v>460.79083749004297</v>
      </c>
      <c r="BI31">
        <v>445.57047105171802</v>
      </c>
      <c r="BJ31">
        <v>605.09551499999998</v>
      </c>
      <c r="BK31">
        <v>543.00243</v>
      </c>
      <c r="BL31" cm="1">
        <f t="array" ref="BL31">INDEX(R31:W31,0,MATCH($A31,$R$1:$W$1,0))</f>
        <v>0.60756666666666603</v>
      </c>
      <c r="BM31" cm="1">
        <f t="array" ref="BM31">INDEX(AL31:AQ31,0,MATCH($A31,$R$1:$W$1,0))</f>
        <v>22.039995000000001</v>
      </c>
      <c r="BN31" cm="1">
        <f t="array" ref="BN31">INDEX(BF31:BK31,0,MATCH($A31,$R$1:$W$1,0))</f>
        <v>605.09551499999998</v>
      </c>
    </row>
    <row r="32" spans="1:66" x14ac:dyDescent="0.35">
      <c r="A32" t="s">
        <v>67</v>
      </c>
      <c r="B32">
        <v>143750</v>
      </c>
      <c r="C32">
        <v>2000</v>
      </c>
      <c r="D32">
        <v>0.61</v>
      </c>
      <c r="E32">
        <v>0.57333333333333303</v>
      </c>
      <c r="F32">
        <v>0.54666666666666597</v>
      </c>
      <c r="G32">
        <v>0.541333333333333</v>
      </c>
      <c r="H32">
        <v>0.55100000000000005</v>
      </c>
      <c r="I32">
        <v>0.59399999999999997</v>
      </c>
      <c r="J32">
        <v>0.52400000000000002</v>
      </c>
      <c r="K32">
        <v>0.57933333333333303</v>
      </c>
      <c r="L32">
        <v>0.54266666666666596</v>
      </c>
      <c r="M32">
        <v>0.52200000000000002</v>
      </c>
      <c r="N32">
        <v>0.51466666666666605</v>
      </c>
      <c r="O32">
        <v>0.54400000000000004</v>
      </c>
      <c r="P32">
        <v>0.59099999999999997</v>
      </c>
      <c r="Q32">
        <v>0.50466666666666604</v>
      </c>
      <c r="R32">
        <v>0.60925333333333298</v>
      </c>
      <c r="S32">
        <v>0.53424333333333296</v>
      </c>
      <c r="T32">
        <v>0.54626148117333295</v>
      </c>
      <c r="U32">
        <v>0.54836476300799997</v>
      </c>
      <c r="V32">
        <v>0.60756666666666603</v>
      </c>
      <c r="W32">
        <v>0.62163533333333298</v>
      </c>
      <c r="X32">
        <v>17.251000000000001</v>
      </c>
      <c r="Y32">
        <v>19.109000000000002</v>
      </c>
      <c r="Z32">
        <v>18.277000000000001</v>
      </c>
      <c r="AA32">
        <v>19.617999999999999</v>
      </c>
      <c r="AB32">
        <v>19.274999999999999</v>
      </c>
      <c r="AC32">
        <v>17.934999999999999</v>
      </c>
      <c r="AD32">
        <v>20.178000000000001</v>
      </c>
      <c r="AE32">
        <v>19.273</v>
      </c>
      <c r="AF32">
        <v>19.381</v>
      </c>
      <c r="AG32">
        <v>17.370999999999999</v>
      </c>
      <c r="AH32">
        <v>20.550999999999998</v>
      </c>
      <c r="AI32">
        <v>19.367999999999999</v>
      </c>
      <c r="AJ32">
        <v>18.254000000000001</v>
      </c>
      <c r="AK32">
        <v>18.369</v>
      </c>
      <c r="AL32">
        <v>21.917922000000001</v>
      </c>
      <c r="AM32">
        <v>19.80762</v>
      </c>
      <c r="AN32">
        <v>19.168341101077001</v>
      </c>
      <c r="AO32">
        <v>19.231198608562</v>
      </c>
      <c r="AP32">
        <v>22.039995000000001</v>
      </c>
      <c r="AQ32">
        <v>22.159739999999999</v>
      </c>
      <c r="AR32">
        <v>456.46</v>
      </c>
      <c r="AS32">
        <v>346.94299999999998</v>
      </c>
      <c r="AT32">
        <v>486.68099999999998</v>
      </c>
      <c r="AU32">
        <v>400.459</v>
      </c>
      <c r="AV32">
        <v>549.07399999999996</v>
      </c>
      <c r="AW32">
        <v>648.23199999999997</v>
      </c>
      <c r="AX32">
        <v>439.27600000000001</v>
      </c>
      <c r="AY32">
        <v>273.76100000000002</v>
      </c>
      <c r="AZ32">
        <v>361.48399999999998</v>
      </c>
      <c r="BA32">
        <v>200.72</v>
      </c>
      <c r="BB32">
        <v>744.45699999999999</v>
      </c>
      <c r="BC32">
        <v>396.964</v>
      </c>
      <c r="BD32">
        <v>423.28699999999998</v>
      </c>
      <c r="BE32">
        <v>922.71699999999998</v>
      </c>
      <c r="BF32">
        <v>578.977486</v>
      </c>
      <c r="BG32">
        <v>443.4443</v>
      </c>
      <c r="BH32">
        <v>460.79083749004297</v>
      </c>
      <c r="BI32">
        <v>445.57047105171802</v>
      </c>
      <c r="BJ32">
        <v>605.09551499999998</v>
      </c>
      <c r="BK32">
        <v>543.00243</v>
      </c>
      <c r="BL32" cm="1">
        <f t="array" ref="BL32">INDEX(R32:W32,0,MATCH($A32,$R$1:$W$1,0))</f>
        <v>0.62163533333333298</v>
      </c>
      <c r="BM32" cm="1">
        <f t="array" ref="BM32">INDEX(AL32:AQ32,0,MATCH($A32,$R$1:$W$1,0))</f>
        <v>22.159739999999999</v>
      </c>
      <c r="BN32" cm="1">
        <f t="array" ref="BN32">INDEX(BF32:BK32,0,MATCH($A32,$R$1:$W$1,0))</f>
        <v>543.00243</v>
      </c>
    </row>
    <row r="33" spans="1:66" x14ac:dyDescent="0.35">
      <c r="A33" t="s">
        <v>63</v>
      </c>
      <c r="B33">
        <v>887356</v>
      </c>
      <c r="C33">
        <v>2001</v>
      </c>
      <c r="D33">
        <v>0.56866666666666599</v>
      </c>
      <c r="E33">
        <v>0.45033333333333297</v>
      </c>
      <c r="F33">
        <v>0.55266666666666597</v>
      </c>
      <c r="G33">
        <v>0.477333333333333</v>
      </c>
      <c r="H33">
        <v>0.58933333333333304</v>
      </c>
      <c r="I33">
        <v>0.61366666666666603</v>
      </c>
      <c r="J33">
        <v>0.50366666666666604</v>
      </c>
      <c r="K33">
        <v>0.46733333333333299</v>
      </c>
      <c r="L33">
        <v>0.42566666666666603</v>
      </c>
      <c r="M33">
        <v>0.42166666666666602</v>
      </c>
      <c r="N33">
        <v>0.65100000000000002</v>
      </c>
      <c r="O33">
        <v>0.45200000000000001</v>
      </c>
      <c r="P33">
        <v>0.57399999999999995</v>
      </c>
      <c r="Q33">
        <v>0.63433333333333297</v>
      </c>
      <c r="R33">
        <v>0.61416599999999999</v>
      </c>
      <c r="S33">
        <v>0.49836333333333299</v>
      </c>
      <c r="T33">
        <v>0.52682333303733297</v>
      </c>
      <c r="U33">
        <v>0.519259524885333</v>
      </c>
      <c r="V33">
        <v>0.62227500000000002</v>
      </c>
      <c r="W33">
        <v>0.59545333333333295</v>
      </c>
      <c r="X33">
        <v>18.661999999999999</v>
      </c>
      <c r="Y33">
        <v>17.791</v>
      </c>
      <c r="Z33">
        <v>18.474</v>
      </c>
      <c r="AA33">
        <v>18.073</v>
      </c>
      <c r="AB33">
        <v>19.52</v>
      </c>
      <c r="AC33">
        <v>17.905999999999999</v>
      </c>
      <c r="AD33">
        <v>16.983000000000001</v>
      </c>
      <c r="AE33">
        <v>16.872</v>
      </c>
      <c r="AF33">
        <v>16.587</v>
      </c>
      <c r="AG33">
        <v>15.189</v>
      </c>
      <c r="AH33">
        <v>19.257000000000001</v>
      </c>
      <c r="AI33">
        <v>16.478999999999999</v>
      </c>
      <c r="AJ33">
        <v>18.286000000000001</v>
      </c>
      <c r="AK33">
        <v>19.25</v>
      </c>
      <c r="AL33">
        <v>20.308471999999998</v>
      </c>
      <c r="AM33">
        <v>17.014990000000001</v>
      </c>
      <c r="AN33">
        <v>18.142426656933999</v>
      </c>
      <c r="AO33">
        <v>17.934760035612001</v>
      </c>
      <c r="AP33">
        <v>20.287489999999998</v>
      </c>
      <c r="AQ33">
        <v>20.423082000000001</v>
      </c>
      <c r="AR33">
        <v>317.58999999999997</v>
      </c>
      <c r="AS33">
        <v>343.17399999999998</v>
      </c>
      <c r="AT33">
        <v>382.62799999999999</v>
      </c>
      <c r="AU33">
        <v>388.58699999999999</v>
      </c>
      <c r="AV33">
        <v>421.75900000000001</v>
      </c>
      <c r="AW33">
        <v>627.30899999999997</v>
      </c>
      <c r="AX33">
        <v>425.72699999999998</v>
      </c>
      <c r="AY33">
        <v>232.80199999999999</v>
      </c>
      <c r="AZ33">
        <v>283.73099999999999</v>
      </c>
      <c r="BA33">
        <v>182.97900000000001</v>
      </c>
      <c r="BB33">
        <v>545.87400000000002</v>
      </c>
      <c r="BC33">
        <v>352.03399999999999</v>
      </c>
      <c r="BD33">
        <v>332.505</v>
      </c>
      <c r="BE33">
        <v>581.74799999999902</v>
      </c>
      <c r="BF33">
        <v>473.61027999999902</v>
      </c>
      <c r="BG33">
        <v>418.70346000000001</v>
      </c>
      <c r="BH33">
        <v>389.05713088962699</v>
      </c>
      <c r="BI33">
        <v>382.70504653783001</v>
      </c>
      <c r="BJ33">
        <v>476.80282499999998</v>
      </c>
      <c r="BK33">
        <v>460.33533599999902</v>
      </c>
      <c r="BL33" cm="1">
        <f t="array" ref="BL33">INDEX(R33:W33,0,MATCH($A33,$R$1:$W$1,0))</f>
        <v>0.519259524885333</v>
      </c>
      <c r="BM33" cm="1">
        <f t="array" ref="BM33">INDEX(AL33:AQ33,0,MATCH($A33,$R$1:$W$1,0))</f>
        <v>17.934760035612001</v>
      </c>
      <c r="BN33" cm="1">
        <f t="array" ref="BN33">INDEX(BF33:BK33,0,MATCH($A33,$R$1:$W$1,0))</f>
        <v>382.70504653783001</v>
      </c>
    </row>
    <row r="34" spans="1:66" x14ac:dyDescent="0.35">
      <c r="A34" t="s">
        <v>64</v>
      </c>
      <c r="B34">
        <v>108546</v>
      </c>
      <c r="C34">
        <v>2001</v>
      </c>
      <c r="D34">
        <v>0.56866666666666599</v>
      </c>
      <c r="E34">
        <v>0.45033333333333297</v>
      </c>
      <c r="F34">
        <v>0.55266666666666597</v>
      </c>
      <c r="G34">
        <v>0.477333333333333</v>
      </c>
      <c r="H34">
        <v>0.58933333333333304</v>
      </c>
      <c r="I34">
        <v>0.61366666666666603</v>
      </c>
      <c r="J34">
        <v>0.50366666666666604</v>
      </c>
      <c r="K34">
        <v>0.46733333333333299</v>
      </c>
      <c r="L34">
        <v>0.42566666666666603</v>
      </c>
      <c r="M34">
        <v>0.42166666666666602</v>
      </c>
      <c r="N34">
        <v>0.65100000000000002</v>
      </c>
      <c r="O34">
        <v>0.45200000000000001</v>
      </c>
      <c r="P34">
        <v>0.57399999999999995</v>
      </c>
      <c r="Q34">
        <v>0.63433333333333297</v>
      </c>
      <c r="R34">
        <v>0.61416599999999999</v>
      </c>
      <c r="S34">
        <v>0.49836333333333299</v>
      </c>
      <c r="T34">
        <v>0.52682333303733297</v>
      </c>
      <c r="U34">
        <v>0.519259524885333</v>
      </c>
      <c r="V34">
        <v>0.62227500000000002</v>
      </c>
      <c r="W34">
        <v>0.59545333333333295</v>
      </c>
      <c r="X34">
        <v>18.661999999999999</v>
      </c>
      <c r="Y34">
        <v>17.791</v>
      </c>
      <c r="Z34">
        <v>18.474</v>
      </c>
      <c r="AA34">
        <v>18.073</v>
      </c>
      <c r="AB34">
        <v>19.52</v>
      </c>
      <c r="AC34">
        <v>17.905999999999999</v>
      </c>
      <c r="AD34">
        <v>16.983000000000001</v>
      </c>
      <c r="AE34">
        <v>16.872</v>
      </c>
      <c r="AF34">
        <v>16.587</v>
      </c>
      <c r="AG34">
        <v>15.189</v>
      </c>
      <c r="AH34">
        <v>19.257000000000001</v>
      </c>
      <c r="AI34">
        <v>16.478999999999999</v>
      </c>
      <c r="AJ34">
        <v>18.286000000000001</v>
      </c>
      <c r="AK34">
        <v>19.25</v>
      </c>
      <c r="AL34">
        <v>20.308471999999998</v>
      </c>
      <c r="AM34">
        <v>17.014990000000001</v>
      </c>
      <c r="AN34">
        <v>18.142426656933999</v>
      </c>
      <c r="AO34">
        <v>17.934760035612001</v>
      </c>
      <c r="AP34">
        <v>20.287489999999998</v>
      </c>
      <c r="AQ34">
        <v>20.423082000000001</v>
      </c>
      <c r="AR34">
        <v>317.58999999999997</v>
      </c>
      <c r="AS34">
        <v>343.17399999999998</v>
      </c>
      <c r="AT34">
        <v>382.62799999999999</v>
      </c>
      <c r="AU34">
        <v>388.58699999999999</v>
      </c>
      <c r="AV34">
        <v>421.75900000000001</v>
      </c>
      <c r="AW34">
        <v>627.30899999999997</v>
      </c>
      <c r="AX34">
        <v>425.72699999999998</v>
      </c>
      <c r="AY34">
        <v>232.80199999999999</v>
      </c>
      <c r="AZ34">
        <v>283.73099999999999</v>
      </c>
      <c r="BA34">
        <v>182.97900000000001</v>
      </c>
      <c r="BB34">
        <v>545.87400000000002</v>
      </c>
      <c r="BC34">
        <v>352.03399999999999</v>
      </c>
      <c r="BD34">
        <v>332.505</v>
      </c>
      <c r="BE34">
        <v>581.74799999999902</v>
      </c>
      <c r="BF34">
        <v>473.61027999999902</v>
      </c>
      <c r="BG34">
        <v>418.70346000000001</v>
      </c>
      <c r="BH34">
        <v>389.05713088962699</v>
      </c>
      <c r="BI34">
        <v>382.70504653783001</v>
      </c>
      <c r="BJ34">
        <v>476.80282499999998</v>
      </c>
      <c r="BK34">
        <v>460.33533599999902</v>
      </c>
      <c r="BL34" cm="1">
        <f t="array" ref="BL34">INDEX(R34:W34,0,MATCH($A34,$R$1:$W$1,0))</f>
        <v>0.61416599999999999</v>
      </c>
      <c r="BM34" cm="1">
        <f t="array" ref="BM34">INDEX(AL34:AQ34,0,MATCH($A34,$R$1:$W$1,0))</f>
        <v>20.308471999999998</v>
      </c>
      <c r="BN34" cm="1">
        <f t="array" ref="BN34">INDEX(BF34:BK34,0,MATCH($A34,$R$1:$W$1,0))</f>
        <v>473.61027999999902</v>
      </c>
    </row>
    <row r="35" spans="1:66" x14ac:dyDescent="0.35">
      <c r="A35" t="s">
        <v>65</v>
      </c>
      <c r="B35">
        <v>556655</v>
      </c>
      <c r="C35">
        <v>2001</v>
      </c>
      <c r="D35">
        <v>0.56866666666666599</v>
      </c>
      <c r="E35">
        <v>0.45033333333333297</v>
      </c>
      <c r="F35">
        <v>0.55266666666666597</v>
      </c>
      <c r="G35">
        <v>0.477333333333333</v>
      </c>
      <c r="H35">
        <v>0.58933333333333304</v>
      </c>
      <c r="I35">
        <v>0.61366666666666603</v>
      </c>
      <c r="J35">
        <v>0.50366666666666604</v>
      </c>
      <c r="K35">
        <v>0.46733333333333299</v>
      </c>
      <c r="L35">
        <v>0.42566666666666603</v>
      </c>
      <c r="M35">
        <v>0.42166666666666602</v>
      </c>
      <c r="N35">
        <v>0.65100000000000002</v>
      </c>
      <c r="O35">
        <v>0.45200000000000001</v>
      </c>
      <c r="P35">
        <v>0.57399999999999995</v>
      </c>
      <c r="Q35">
        <v>0.63433333333333297</v>
      </c>
      <c r="R35">
        <v>0.61416599999999999</v>
      </c>
      <c r="S35">
        <v>0.49836333333333299</v>
      </c>
      <c r="T35">
        <v>0.52682333303733297</v>
      </c>
      <c r="U35">
        <v>0.519259524885333</v>
      </c>
      <c r="V35">
        <v>0.62227500000000002</v>
      </c>
      <c r="W35">
        <v>0.59545333333333295</v>
      </c>
      <c r="X35">
        <v>18.661999999999999</v>
      </c>
      <c r="Y35">
        <v>17.791</v>
      </c>
      <c r="Z35">
        <v>18.474</v>
      </c>
      <c r="AA35">
        <v>18.073</v>
      </c>
      <c r="AB35">
        <v>19.52</v>
      </c>
      <c r="AC35">
        <v>17.905999999999999</v>
      </c>
      <c r="AD35">
        <v>16.983000000000001</v>
      </c>
      <c r="AE35">
        <v>16.872</v>
      </c>
      <c r="AF35">
        <v>16.587</v>
      </c>
      <c r="AG35">
        <v>15.189</v>
      </c>
      <c r="AH35">
        <v>19.257000000000001</v>
      </c>
      <c r="AI35">
        <v>16.478999999999999</v>
      </c>
      <c r="AJ35">
        <v>18.286000000000001</v>
      </c>
      <c r="AK35">
        <v>19.25</v>
      </c>
      <c r="AL35">
        <v>20.308471999999998</v>
      </c>
      <c r="AM35">
        <v>17.014990000000001</v>
      </c>
      <c r="AN35">
        <v>18.142426656933999</v>
      </c>
      <c r="AO35">
        <v>17.934760035612001</v>
      </c>
      <c r="AP35">
        <v>20.287489999999998</v>
      </c>
      <c r="AQ35">
        <v>20.423082000000001</v>
      </c>
      <c r="AR35">
        <v>317.58999999999997</v>
      </c>
      <c r="AS35">
        <v>343.17399999999998</v>
      </c>
      <c r="AT35">
        <v>382.62799999999999</v>
      </c>
      <c r="AU35">
        <v>388.58699999999999</v>
      </c>
      <c r="AV35">
        <v>421.75900000000001</v>
      </c>
      <c r="AW35">
        <v>627.30899999999997</v>
      </c>
      <c r="AX35">
        <v>425.72699999999998</v>
      </c>
      <c r="AY35">
        <v>232.80199999999999</v>
      </c>
      <c r="AZ35">
        <v>283.73099999999999</v>
      </c>
      <c r="BA35">
        <v>182.97900000000001</v>
      </c>
      <c r="BB35">
        <v>545.87400000000002</v>
      </c>
      <c r="BC35">
        <v>352.03399999999999</v>
      </c>
      <c r="BD35">
        <v>332.505</v>
      </c>
      <c r="BE35">
        <v>581.74799999999902</v>
      </c>
      <c r="BF35">
        <v>473.61027999999902</v>
      </c>
      <c r="BG35">
        <v>418.70346000000001</v>
      </c>
      <c r="BH35">
        <v>389.05713088962699</v>
      </c>
      <c r="BI35">
        <v>382.70504653783001</v>
      </c>
      <c r="BJ35">
        <v>476.80282499999998</v>
      </c>
      <c r="BK35">
        <v>460.33533599999902</v>
      </c>
      <c r="BL35" cm="1">
        <f t="array" ref="BL35">INDEX(R35:W35,0,MATCH($A35,$R$1:$W$1,0))</f>
        <v>0.52682333303733297</v>
      </c>
      <c r="BM35" cm="1">
        <f t="array" ref="BM35">INDEX(AL35:AQ35,0,MATCH($A35,$R$1:$W$1,0))</f>
        <v>18.142426656933999</v>
      </c>
      <c r="BN35" cm="1">
        <f t="array" ref="BN35">INDEX(BF35:BK35,0,MATCH($A35,$R$1:$W$1,0))</f>
        <v>389.05713088962699</v>
      </c>
    </row>
    <row r="36" spans="1:66" x14ac:dyDescent="0.35">
      <c r="A36" t="s">
        <v>66</v>
      </c>
      <c r="B36">
        <v>206989</v>
      </c>
      <c r="C36">
        <v>2001</v>
      </c>
      <c r="D36">
        <v>0.56866666666666599</v>
      </c>
      <c r="E36">
        <v>0.45033333333333297</v>
      </c>
      <c r="F36">
        <v>0.55266666666666597</v>
      </c>
      <c r="G36">
        <v>0.477333333333333</v>
      </c>
      <c r="H36">
        <v>0.58933333333333304</v>
      </c>
      <c r="I36">
        <v>0.61366666666666603</v>
      </c>
      <c r="J36">
        <v>0.50366666666666604</v>
      </c>
      <c r="K36">
        <v>0.46733333333333299</v>
      </c>
      <c r="L36">
        <v>0.42566666666666603</v>
      </c>
      <c r="M36">
        <v>0.42166666666666602</v>
      </c>
      <c r="N36">
        <v>0.65100000000000002</v>
      </c>
      <c r="O36">
        <v>0.45200000000000001</v>
      </c>
      <c r="P36">
        <v>0.57399999999999995</v>
      </c>
      <c r="Q36">
        <v>0.63433333333333297</v>
      </c>
      <c r="R36">
        <v>0.61416599999999999</v>
      </c>
      <c r="S36">
        <v>0.49836333333333299</v>
      </c>
      <c r="T36">
        <v>0.52682333303733297</v>
      </c>
      <c r="U36">
        <v>0.519259524885333</v>
      </c>
      <c r="V36">
        <v>0.62227500000000002</v>
      </c>
      <c r="W36">
        <v>0.59545333333333295</v>
      </c>
      <c r="X36">
        <v>18.661999999999999</v>
      </c>
      <c r="Y36">
        <v>17.791</v>
      </c>
      <c r="Z36">
        <v>18.474</v>
      </c>
      <c r="AA36">
        <v>18.073</v>
      </c>
      <c r="AB36">
        <v>19.52</v>
      </c>
      <c r="AC36">
        <v>17.905999999999999</v>
      </c>
      <c r="AD36">
        <v>16.983000000000001</v>
      </c>
      <c r="AE36">
        <v>16.872</v>
      </c>
      <c r="AF36">
        <v>16.587</v>
      </c>
      <c r="AG36">
        <v>15.189</v>
      </c>
      <c r="AH36">
        <v>19.257000000000001</v>
      </c>
      <c r="AI36">
        <v>16.478999999999999</v>
      </c>
      <c r="AJ36">
        <v>18.286000000000001</v>
      </c>
      <c r="AK36">
        <v>19.25</v>
      </c>
      <c r="AL36">
        <v>20.308471999999998</v>
      </c>
      <c r="AM36">
        <v>17.014990000000001</v>
      </c>
      <c r="AN36">
        <v>18.142426656933999</v>
      </c>
      <c r="AO36">
        <v>17.934760035612001</v>
      </c>
      <c r="AP36">
        <v>20.287489999999998</v>
      </c>
      <c r="AQ36">
        <v>20.423082000000001</v>
      </c>
      <c r="AR36">
        <v>317.58999999999997</v>
      </c>
      <c r="AS36">
        <v>343.17399999999998</v>
      </c>
      <c r="AT36">
        <v>382.62799999999999</v>
      </c>
      <c r="AU36">
        <v>388.58699999999999</v>
      </c>
      <c r="AV36">
        <v>421.75900000000001</v>
      </c>
      <c r="AW36">
        <v>627.30899999999997</v>
      </c>
      <c r="AX36">
        <v>425.72699999999998</v>
      </c>
      <c r="AY36">
        <v>232.80199999999999</v>
      </c>
      <c r="AZ36">
        <v>283.73099999999999</v>
      </c>
      <c r="BA36">
        <v>182.97900000000001</v>
      </c>
      <c r="BB36">
        <v>545.87400000000002</v>
      </c>
      <c r="BC36">
        <v>352.03399999999999</v>
      </c>
      <c r="BD36">
        <v>332.505</v>
      </c>
      <c r="BE36">
        <v>581.74799999999902</v>
      </c>
      <c r="BF36">
        <v>473.61027999999902</v>
      </c>
      <c r="BG36">
        <v>418.70346000000001</v>
      </c>
      <c r="BH36">
        <v>389.05713088962699</v>
      </c>
      <c r="BI36">
        <v>382.70504653783001</v>
      </c>
      <c r="BJ36">
        <v>476.80282499999998</v>
      </c>
      <c r="BK36">
        <v>460.33533599999902</v>
      </c>
      <c r="BL36" cm="1">
        <f t="array" ref="BL36">INDEX(R36:W36,0,MATCH($A36,$R$1:$W$1,0))</f>
        <v>0.62227500000000002</v>
      </c>
      <c r="BM36" cm="1">
        <f t="array" ref="BM36">INDEX(AL36:AQ36,0,MATCH($A36,$R$1:$W$1,0))</f>
        <v>20.287489999999998</v>
      </c>
      <c r="BN36" cm="1">
        <f t="array" ref="BN36">INDEX(BF36:BK36,0,MATCH($A36,$R$1:$W$1,0))</f>
        <v>476.80282499999998</v>
      </c>
    </row>
    <row r="37" spans="1:66" x14ac:dyDescent="0.35">
      <c r="A37" t="s">
        <v>67</v>
      </c>
      <c r="B37">
        <v>149649</v>
      </c>
      <c r="C37">
        <v>2001</v>
      </c>
      <c r="D37">
        <v>0.56866666666666599</v>
      </c>
      <c r="E37">
        <v>0.45033333333333297</v>
      </c>
      <c r="F37">
        <v>0.55266666666666597</v>
      </c>
      <c r="G37">
        <v>0.477333333333333</v>
      </c>
      <c r="H37">
        <v>0.58933333333333304</v>
      </c>
      <c r="I37">
        <v>0.61366666666666603</v>
      </c>
      <c r="J37">
        <v>0.50366666666666604</v>
      </c>
      <c r="K37">
        <v>0.46733333333333299</v>
      </c>
      <c r="L37">
        <v>0.42566666666666603</v>
      </c>
      <c r="M37">
        <v>0.42166666666666602</v>
      </c>
      <c r="N37">
        <v>0.65100000000000002</v>
      </c>
      <c r="O37">
        <v>0.45200000000000001</v>
      </c>
      <c r="P37">
        <v>0.57399999999999995</v>
      </c>
      <c r="Q37">
        <v>0.63433333333333297</v>
      </c>
      <c r="R37">
        <v>0.61416599999999999</v>
      </c>
      <c r="S37">
        <v>0.49836333333333299</v>
      </c>
      <c r="T37">
        <v>0.52682333303733297</v>
      </c>
      <c r="U37">
        <v>0.519259524885333</v>
      </c>
      <c r="V37">
        <v>0.62227500000000002</v>
      </c>
      <c r="W37">
        <v>0.59545333333333295</v>
      </c>
      <c r="X37">
        <v>18.661999999999999</v>
      </c>
      <c r="Y37">
        <v>17.791</v>
      </c>
      <c r="Z37">
        <v>18.474</v>
      </c>
      <c r="AA37">
        <v>18.073</v>
      </c>
      <c r="AB37">
        <v>19.52</v>
      </c>
      <c r="AC37">
        <v>17.905999999999999</v>
      </c>
      <c r="AD37">
        <v>16.983000000000001</v>
      </c>
      <c r="AE37">
        <v>16.872</v>
      </c>
      <c r="AF37">
        <v>16.587</v>
      </c>
      <c r="AG37">
        <v>15.189</v>
      </c>
      <c r="AH37">
        <v>19.257000000000001</v>
      </c>
      <c r="AI37">
        <v>16.478999999999999</v>
      </c>
      <c r="AJ37">
        <v>18.286000000000001</v>
      </c>
      <c r="AK37">
        <v>19.25</v>
      </c>
      <c r="AL37">
        <v>20.308471999999998</v>
      </c>
      <c r="AM37">
        <v>17.014990000000001</v>
      </c>
      <c r="AN37">
        <v>18.142426656933999</v>
      </c>
      <c r="AO37">
        <v>17.934760035612001</v>
      </c>
      <c r="AP37">
        <v>20.287489999999998</v>
      </c>
      <c r="AQ37">
        <v>20.423082000000001</v>
      </c>
      <c r="AR37">
        <v>317.58999999999997</v>
      </c>
      <c r="AS37">
        <v>343.17399999999998</v>
      </c>
      <c r="AT37">
        <v>382.62799999999999</v>
      </c>
      <c r="AU37">
        <v>388.58699999999999</v>
      </c>
      <c r="AV37">
        <v>421.75900000000001</v>
      </c>
      <c r="AW37">
        <v>627.30899999999997</v>
      </c>
      <c r="AX37">
        <v>425.72699999999998</v>
      </c>
      <c r="AY37">
        <v>232.80199999999999</v>
      </c>
      <c r="AZ37">
        <v>283.73099999999999</v>
      </c>
      <c r="BA37">
        <v>182.97900000000001</v>
      </c>
      <c r="BB37">
        <v>545.87400000000002</v>
      </c>
      <c r="BC37">
        <v>352.03399999999999</v>
      </c>
      <c r="BD37">
        <v>332.505</v>
      </c>
      <c r="BE37">
        <v>581.74799999999902</v>
      </c>
      <c r="BF37">
        <v>473.61027999999902</v>
      </c>
      <c r="BG37">
        <v>418.70346000000001</v>
      </c>
      <c r="BH37">
        <v>389.05713088962699</v>
      </c>
      <c r="BI37">
        <v>382.70504653783001</v>
      </c>
      <c r="BJ37">
        <v>476.80282499999998</v>
      </c>
      <c r="BK37">
        <v>460.33533599999902</v>
      </c>
      <c r="BL37" cm="1">
        <f t="array" ref="BL37">INDEX(R37:W37,0,MATCH($A37,$R$1:$W$1,0))</f>
        <v>0.59545333333333295</v>
      </c>
      <c r="BM37" cm="1">
        <f t="array" ref="BM37">INDEX(AL37:AQ37,0,MATCH($A37,$R$1:$W$1,0))</f>
        <v>20.423082000000001</v>
      </c>
      <c r="BN37" cm="1">
        <f t="array" ref="BN37">INDEX(BF37:BK37,0,MATCH($A37,$R$1:$W$1,0))</f>
        <v>460.33533599999902</v>
      </c>
    </row>
    <row r="38" spans="1:66" x14ac:dyDescent="0.35">
      <c r="A38" t="s">
        <v>63</v>
      </c>
      <c r="B38">
        <v>260723</v>
      </c>
      <c r="C38">
        <v>2002</v>
      </c>
      <c r="D38">
        <v>0.30166666666666597</v>
      </c>
      <c r="E38">
        <v>0.27033333333333298</v>
      </c>
      <c r="F38">
        <v>0.397666666666666</v>
      </c>
      <c r="G38">
        <v>0.40466666666666601</v>
      </c>
      <c r="H38">
        <v>0.42</v>
      </c>
      <c r="I38">
        <v>0.56599999999999995</v>
      </c>
      <c r="J38">
        <v>0.42099999999999999</v>
      </c>
      <c r="K38">
        <v>0.33966666666666601</v>
      </c>
      <c r="L38">
        <v>0.38633333333333297</v>
      </c>
      <c r="M38">
        <v>0.42</v>
      </c>
      <c r="N38">
        <v>0.536333333333333</v>
      </c>
      <c r="O38">
        <v>0.44666666666666599</v>
      </c>
      <c r="P38">
        <v>0.45533333333333298</v>
      </c>
      <c r="Q38">
        <v>0.52633333333333299</v>
      </c>
      <c r="R38">
        <v>0.49615399999999998</v>
      </c>
      <c r="S38">
        <v>0.43644333333333302</v>
      </c>
      <c r="T38">
        <v>0.41001814790366597</v>
      </c>
      <c r="U38">
        <v>0.41285952466866599</v>
      </c>
      <c r="V38">
        <v>0.52407499999999996</v>
      </c>
      <c r="W38">
        <v>0.49209999999999998</v>
      </c>
      <c r="X38">
        <v>13.284000000000001</v>
      </c>
      <c r="Y38">
        <v>11.6</v>
      </c>
      <c r="Z38">
        <v>12.08</v>
      </c>
      <c r="AA38">
        <v>11.002000000000001</v>
      </c>
      <c r="AB38">
        <v>11.013999999999999</v>
      </c>
      <c r="AC38">
        <v>14.105</v>
      </c>
      <c r="AD38">
        <v>11.680999999999999</v>
      </c>
      <c r="AE38">
        <v>12.175000000000001</v>
      </c>
      <c r="AF38">
        <v>11.634</v>
      </c>
      <c r="AG38">
        <v>12.843</v>
      </c>
      <c r="AH38">
        <v>14.587</v>
      </c>
      <c r="AI38">
        <v>12.06</v>
      </c>
      <c r="AJ38">
        <v>13.865</v>
      </c>
      <c r="AK38">
        <v>15.6</v>
      </c>
      <c r="AL38">
        <v>14.120206</v>
      </c>
      <c r="AM38">
        <v>11.90963</v>
      </c>
      <c r="AN38">
        <v>11.897052214725999</v>
      </c>
      <c r="AO38">
        <v>11.889150026757999</v>
      </c>
      <c r="AP38">
        <v>15.192555</v>
      </c>
      <c r="AQ38">
        <v>13.989416</v>
      </c>
      <c r="AR38">
        <v>260.08199999999999</v>
      </c>
      <c r="AS38">
        <v>322.82100000000003</v>
      </c>
      <c r="AT38">
        <v>382.59100000000001</v>
      </c>
      <c r="AU38">
        <v>408.95</v>
      </c>
      <c r="AV38">
        <v>429.07299999999998</v>
      </c>
      <c r="AW38">
        <v>617.90300000000002</v>
      </c>
      <c r="AX38">
        <v>395.11799999999999</v>
      </c>
      <c r="AY38">
        <v>277.60899999999998</v>
      </c>
      <c r="AZ38">
        <v>275.18799999999999</v>
      </c>
      <c r="BA38">
        <v>230.60900000000001</v>
      </c>
      <c r="BB38">
        <v>474.68599999999998</v>
      </c>
      <c r="BC38">
        <v>339.827</v>
      </c>
      <c r="BD38">
        <v>310.48899999999998</v>
      </c>
      <c r="BE38">
        <v>529.16099999999994</v>
      </c>
      <c r="BF38">
        <v>449.05065400000001</v>
      </c>
      <c r="BG38">
        <v>396.48917999999998</v>
      </c>
      <c r="BH38">
        <v>384.99303200967199</v>
      </c>
      <c r="BI38">
        <v>381.5604664887</v>
      </c>
      <c r="BJ38">
        <v>451.36642499999999</v>
      </c>
      <c r="BK38">
        <v>447.70480800000001</v>
      </c>
      <c r="BL38" cm="1">
        <f t="array" ref="BL38">INDEX(R38:W38,0,MATCH($A38,$R$1:$W$1,0))</f>
        <v>0.41285952466866599</v>
      </c>
      <c r="BM38" cm="1">
        <f t="array" ref="BM38">INDEX(AL38:AQ38,0,MATCH($A38,$R$1:$W$1,0))</f>
        <v>11.889150026757999</v>
      </c>
      <c r="BN38" cm="1">
        <f t="array" ref="BN38">INDEX(BF38:BK38,0,MATCH($A38,$R$1:$W$1,0))</f>
        <v>381.5604664887</v>
      </c>
    </row>
    <row r="39" spans="1:66" x14ac:dyDescent="0.35">
      <c r="A39" t="s">
        <v>64</v>
      </c>
      <c r="B39">
        <v>80372</v>
      </c>
      <c r="C39">
        <v>2002</v>
      </c>
      <c r="D39">
        <v>0.30166666666666597</v>
      </c>
      <c r="E39">
        <v>0.27033333333333298</v>
      </c>
      <c r="F39">
        <v>0.397666666666666</v>
      </c>
      <c r="G39">
        <v>0.40466666666666601</v>
      </c>
      <c r="H39">
        <v>0.42</v>
      </c>
      <c r="I39">
        <v>0.56599999999999995</v>
      </c>
      <c r="J39">
        <v>0.42099999999999999</v>
      </c>
      <c r="K39">
        <v>0.33966666666666601</v>
      </c>
      <c r="L39">
        <v>0.38633333333333297</v>
      </c>
      <c r="M39">
        <v>0.42</v>
      </c>
      <c r="N39">
        <v>0.536333333333333</v>
      </c>
      <c r="O39">
        <v>0.44666666666666599</v>
      </c>
      <c r="P39">
        <v>0.45533333333333298</v>
      </c>
      <c r="Q39">
        <v>0.52633333333333299</v>
      </c>
      <c r="R39">
        <v>0.49615399999999998</v>
      </c>
      <c r="S39">
        <v>0.43644333333333302</v>
      </c>
      <c r="T39">
        <v>0.41001814790366597</v>
      </c>
      <c r="U39">
        <v>0.41285952466866599</v>
      </c>
      <c r="V39">
        <v>0.52407499999999996</v>
      </c>
      <c r="W39">
        <v>0.49209999999999998</v>
      </c>
      <c r="X39">
        <v>13.284000000000001</v>
      </c>
      <c r="Y39">
        <v>11.6</v>
      </c>
      <c r="Z39">
        <v>12.08</v>
      </c>
      <c r="AA39">
        <v>11.002000000000001</v>
      </c>
      <c r="AB39">
        <v>11.013999999999999</v>
      </c>
      <c r="AC39">
        <v>14.105</v>
      </c>
      <c r="AD39">
        <v>11.680999999999999</v>
      </c>
      <c r="AE39">
        <v>12.175000000000001</v>
      </c>
      <c r="AF39">
        <v>11.634</v>
      </c>
      <c r="AG39">
        <v>12.843</v>
      </c>
      <c r="AH39">
        <v>14.587</v>
      </c>
      <c r="AI39">
        <v>12.06</v>
      </c>
      <c r="AJ39">
        <v>13.865</v>
      </c>
      <c r="AK39">
        <v>15.6</v>
      </c>
      <c r="AL39">
        <v>14.120206</v>
      </c>
      <c r="AM39">
        <v>11.90963</v>
      </c>
      <c r="AN39">
        <v>11.897052214725999</v>
      </c>
      <c r="AO39">
        <v>11.889150026757999</v>
      </c>
      <c r="AP39">
        <v>15.192555</v>
      </c>
      <c r="AQ39">
        <v>13.989416</v>
      </c>
      <c r="AR39">
        <v>260.08199999999999</v>
      </c>
      <c r="AS39">
        <v>322.82100000000003</v>
      </c>
      <c r="AT39">
        <v>382.59100000000001</v>
      </c>
      <c r="AU39">
        <v>408.95</v>
      </c>
      <c r="AV39">
        <v>429.07299999999998</v>
      </c>
      <c r="AW39">
        <v>617.90300000000002</v>
      </c>
      <c r="AX39">
        <v>395.11799999999999</v>
      </c>
      <c r="AY39">
        <v>277.60899999999998</v>
      </c>
      <c r="AZ39">
        <v>275.18799999999999</v>
      </c>
      <c r="BA39">
        <v>230.60900000000001</v>
      </c>
      <c r="BB39">
        <v>474.68599999999998</v>
      </c>
      <c r="BC39">
        <v>339.827</v>
      </c>
      <c r="BD39">
        <v>310.48899999999998</v>
      </c>
      <c r="BE39">
        <v>529.16099999999994</v>
      </c>
      <c r="BF39">
        <v>449.05065400000001</v>
      </c>
      <c r="BG39">
        <v>396.48917999999998</v>
      </c>
      <c r="BH39">
        <v>384.99303200967199</v>
      </c>
      <c r="BI39">
        <v>381.5604664887</v>
      </c>
      <c r="BJ39">
        <v>451.36642499999999</v>
      </c>
      <c r="BK39">
        <v>447.70480800000001</v>
      </c>
      <c r="BL39" cm="1">
        <f t="array" ref="BL39">INDEX(R39:W39,0,MATCH($A39,$R$1:$W$1,0))</f>
        <v>0.49615399999999998</v>
      </c>
      <c r="BM39" cm="1">
        <f t="array" ref="BM39">INDEX(AL39:AQ39,0,MATCH($A39,$R$1:$W$1,0))</f>
        <v>14.120206</v>
      </c>
      <c r="BN39" cm="1">
        <f t="array" ref="BN39">INDEX(BF39:BK39,0,MATCH($A39,$R$1:$W$1,0))</f>
        <v>449.05065400000001</v>
      </c>
    </row>
    <row r="40" spans="1:66" x14ac:dyDescent="0.35">
      <c r="A40" t="s">
        <v>65</v>
      </c>
      <c r="B40">
        <v>414820</v>
      </c>
      <c r="C40">
        <v>2002</v>
      </c>
      <c r="D40">
        <v>0.30166666666666597</v>
      </c>
      <c r="E40">
        <v>0.27033333333333298</v>
      </c>
      <c r="F40">
        <v>0.397666666666666</v>
      </c>
      <c r="G40">
        <v>0.40466666666666601</v>
      </c>
      <c r="H40">
        <v>0.42</v>
      </c>
      <c r="I40">
        <v>0.56599999999999995</v>
      </c>
      <c r="J40">
        <v>0.42099999999999999</v>
      </c>
      <c r="K40">
        <v>0.33966666666666601</v>
      </c>
      <c r="L40">
        <v>0.38633333333333297</v>
      </c>
      <c r="M40">
        <v>0.42</v>
      </c>
      <c r="N40">
        <v>0.536333333333333</v>
      </c>
      <c r="O40">
        <v>0.44666666666666599</v>
      </c>
      <c r="P40">
        <v>0.45533333333333298</v>
      </c>
      <c r="Q40">
        <v>0.52633333333333299</v>
      </c>
      <c r="R40">
        <v>0.49615399999999998</v>
      </c>
      <c r="S40">
        <v>0.43644333333333302</v>
      </c>
      <c r="T40">
        <v>0.41001814790366597</v>
      </c>
      <c r="U40">
        <v>0.41285952466866599</v>
      </c>
      <c r="V40">
        <v>0.52407499999999996</v>
      </c>
      <c r="W40">
        <v>0.49209999999999998</v>
      </c>
      <c r="X40">
        <v>13.284000000000001</v>
      </c>
      <c r="Y40">
        <v>11.6</v>
      </c>
      <c r="Z40">
        <v>12.08</v>
      </c>
      <c r="AA40">
        <v>11.002000000000001</v>
      </c>
      <c r="AB40">
        <v>11.013999999999999</v>
      </c>
      <c r="AC40">
        <v>14.105</v>
      </c>
      <c r="AD40">
        <v>11.680999999999999</v>
      </c>
      <c r="AE40">
        <v>12.175000000000001</v>
      </c>
      <c r="AF40">
        <v>11.634</v>
      </c>
      <c r="AG40">
        <v>12.843</v>
      </c>
      <c r="AH40">
        <v>14.587</v>
      </c>
      <c r="AI40">
        <v>12.06</v>
      </c>
      <c r="AJ40">
        <v>13.865</v>
      </c>
      <c r="AK40">
        <v>15.6</v>
      </c>
      <c r="AL40">
        <v>14.120206</v>
      </c>
      <c r="AM40">
        <v>11.90963</v>
      </c>
      <c r="AN40">
        <v>11.897052214725999</v>
      </c>
      <c r="AO40">
        <v>11.889150026757999</v>
      </c>
      <c r="AP40">
        <v>15.192555</v>
      </c>
      <c r="AQ40">
        <v>13.989416</v>
      </c>
      <c r="AR40">
        <v>260.08199999999999</v>
      </c>
      <c r="AS40">
        <v>322.82100000000003</v>
      </c>
      <c r="AT40">
        <v>382.59100000000001</v>
      </c>
      <c r="AU40">
        <v>408.95</v>
      </c>
      <c r="AV40">
        <v>429.07299999999998</v>
      </c>
      <c r="AW40">
        <v>617.90300000000002</v>
      </c>
      <c r="AX40">
        <v>395.11799999999999</v>
      </c>
      <c r="AY40">
        <v>277.60899999999998</v>
      </c>
      <c r="AZ40">
        <v>275.18799999999999</v>
      </c>
      <c r="BA40">
        <v>230.60900000000001</v>
      </c>
      <c r="BB40">
        <v>474.68599999999998</v>
      </c>
      <c r="BC40">
        <v>339.827</v>
      </c>
      <c r="BD40">
        <v>310.48899999999998</v>
      </c>
      <c r="BE40">
        <v>529.16099999999994</v>
      </c>
      <c r="BF40">
        <v>449.05065400000001</v>
      </c>
      <c r="BG40">
        <v>396.48917999999998</v>
      </c>
      <c r="BH40">
        <v>384.99303200967199</v>
      </c>
      <c r="BI40">
        <v>381.5604664887</v>
      </c>
      <c r="BJ40">
        <v>451.36642499999999</v>
      </c>
      <c r="BK40">
        <v>447.70480800000001</v>
      </c>
      <c r="BL40" cm="1">
        <f t="array" ref="BL40">INDEX(R40:W40,0,MATCH($A40,$R$1:$W$1,0))</f>
        <v>0.41001814790366597</v>
      </c>
      <c r="BM40" cm="1">
        <f t="array" ref="BM40">INDEX(AL40:AQ40,0,MATCH($A40,$R$1:$W$1,0))</f>
        <v>11.897052214725999</v>
      </c>
      <c r="BN40" cm="1">
        <f t="array" ref="BN40">INDEX(BF40:BK40,0,MATCH($A40,$R$1:$W$1,0))</f>
        <v>384.99303200967199</v>
      </c>
    </row>
    <row r="41" spans="1:66" x14ac:dyDescent="0.35">
      <c r="A41" t="s">
        <v>66</v>
      </c>
      <c r="B41">
        <v>172395</v>
      </c>
      <c r="C41">
        <v>2002</v>
      </c>
      <c r="D41">
        <v>0.30166666666666597</v>
      </c>
      <c r="E41">
        <v>0.27033333333333298</v>
      </c>
      <c r="F41">
        <v>0.397666666666666</v>
      </c>
      <c r="G41">
        <v>0.40466666666666601</v>
      </c>
      <c r="H41">
        <v>0.42</v>
      </c>
      <c r="I41">
        <v>0.56599999999999995</v>
      </c>
      <c r="J41">
        <v>0.42099999999999999</v>
      </c>
      <c r="K41">
        <v>0.33966666666666601</v>
      </c>
      <c r="L41">
        <v>0.38633333333333297</v>
      </c>
      <c r="M41">
        <v>0.42</v>
      </c>
      <c r="N41">
        <v>0.536333333333333</v>
      </c>
      <c r="O41">
        <v>0.44666666666666599</v>
      </c>
      <c r="P41">
        <v>0.45533333333333298</v>
      </c>
      <c r="Q41">
        <v>0.52633333333333299</v>
      </c>
      <c r="R41">
        <v>0.49615399999999998</v>
      </c>
      <c r="S41">
        <v>0.43644333333333302</v>
      </c>
      <c r="T41">
        <v>0.41001814790366597</v>
      </c>
      <c r="U41">
        <v>0.41285952466866599</v>
      </c>
      <c r="V41">
        <v>0.52407499999999996</v>
      </c>
      <c r="W41">
        <v>0.49209999999999998</v>
      </c>
      <c r="X41">
        <v>13.284000000000001</v>
      </c>
      <c r="Y41">
        <v>11.6</v>
      </c>
      <c r="Z41">
        <v>12.08</v>
      </c>
      <c r="AA41">
        <v>11.002000000000001</v>
      </c>
      <c r="AB41">
        <v>11.013999999999999</v>
      </c>
      <c r="AC41">
        <v>14.105</v>
      </c>
      <c r="AD41">
        <v>11.680999999999999</v>
      </c>
      <c r="AE41">
        <v>12.175000000000001</v>
      </c>
      <c r="AF41">
        <v>11.634</v>
      </c>
      <c r="AG41">
        <v>12.843</v>
      </c>
      <c r="AH41">
        <v>14.587</v>
      </c>
      <c r="AI41">
        <v>12.06</v>
      </c>
      <c r="AJ41">
        <v>13.865</v>
      </c>
      <c r="AK41">
        <v>15.6</v>
      </c>
      <c r="AL41">
        <v>14.120206</v>
      </c>
      <c r="AM41">
        <v>11.90963</v>
      </c>
      <c r="AN41">
        <v>11.897052214725999</v>
      </c>
      <c r="AO41">
        <v>11.889150026757999</v>
      </c>
      <c r="AP41">
        <v>15.192555</v>
      </c>
      <c r="AQ41">
        <v>13.989416</v>
      </c>
      <c r="AR41">
        <v>260.08199999999999</v>
      </c>
      <c r="AS41">
        <v>322.82100000000003</v>
      </c>
      <c r="AT41">
        <v>382.59100000000001</v>
      </c>
      <c r="AU41">
        <v>408.95</v>
      </c>
      <c r="AV41">
        <v>429.07299999999998</v>
      </c>
      <c r="AW41">
        <v>617.90300000000002</v>
      </c>
      <c r="AX41">
        <v>395.11799999999999</v>
      </c>
      <c r="AY41">
        <v>277.60899999999998</v>
      </c>
      <c r="AZ41">
        <v>275.18799999999999</v>
      </c>
      <c r="BA41">
        <v>230.60900000000001</v>
      </c>
      <c r="BB41">
        <v>474.68599999999998</v>
      </c>
      <c r="BC41">
        <v>339.827</v>
      </c>
      <c r="BD41">
        <v>310.48899999999998</v>
      </c>
      <c r="BE41">
        <v>529.16099999999994</v>
      </c>
      <c r="BF41">
        <v>449.05065400000001</v>
      </c>
      <c r="BG41">
        <v>396.48917999999998</v>
      </c>
      <c r="BH41">
        <v>384.99303200967199</v>
      </c>
      <c r="BI41">
        <v>381.5604664887</v>
      </c>
      <c r="BJ41">
        <v>451.36642499999999</v>
      </c>
      <c r="BK41">
        <v>447.70480800000001</v>
      </c>
      <c r="BL41" cm="1">
        <f t="array" ref="BL41">INDEX(R41:W41,0,MATCH($A41,$R$1:$W$1,0))</f>
        <v>0.52407499999999996</v>
      </c>
      <c r="BM41" cm="1">
        <f t="array" ref="BM41">INDEX(AL41:AQ41,0,MATCH($A41,$R$1:$W$1,0))</f>
        <v>15.192555</v>
      </c>
      <c r="BN41" cm="1">
        <f t="array" ref="BN41">INDEX(BF41:BK41,0,MATCH($A41,$R$1:$W$1,0))</f>
        <v>451.36642499999999</v>
      </c>
    </row>
    <row r="42" spans="1:66" x14ac:dyDescent="0.35">
      <c r="A42" t="s">
        <v>67</v>
      </c>
      <c r="B42">
        <v>116929</v>
      </c>
      <c r="C42">
        <v>2002</v>
      </c>
      <c r="D42">
        <v>0.30166666666666597</v>
      </c>
      <c r="E42">
        <v>0.27033333333333298</v>
      </c>
      <c r="F42">
        <v>0.397666666666666</v>
      </c>
      <c r="G42">
        <v>0.40466666666666601</v>
      </c>
      <c r="H42">
        <v>0.42</v>
      </c>
      <c r="I42">
        <v>0.56599999999999995</v>
      </c>
      <c r="J42">
        <v>0.42099999999999999</v>
      </c>
      <c r="K42">
        <v>0.33966666666666601</v>
      </c>
      <c r="L42">
        <v>0.38633333333333297</v>
      </c>
      <c r="M42">
        <v>0.42</v>
      </c>
      <c r="N42">
        <v>0.536333333333333</v>
      </c>
      <c r="O42">
        <v>0.44666666666666599</v>
      </c>
      <c r="P42">
        <v>0.45533333333333298</v>
      </c>
      <c r="Q42">
        <v>0.52633333333333299</v>
      </c>
      <c r="R42">
        <v>0.49615399999999998</v>
      </c>
      <c r="S42">
        <v>0.43644333333333302</v>
      </c>
      <c r="T42">
        <v>0.41001814790366597</v>
      </c>
      <c r="U42">
        <v>0.41285952466866599</v>
      </c>
      <c r="V42">
        <v>0.52407499999999996</v>
      </c>
      <c r="W42">
        <v>0.49209999999999998</v>
      </c>
      <c r="X42">
        <v>13.284000000000001</v>
      </c>
      <c r="Y42">
        <v>11.6</v>
      </c>
      <c r="Z42">
        <v>12.08</v>
      </c>
      <c r="AA42">
        <v>11.002000000000001</v>
      </c>
      <c r="AB42">
        <v>11.013999999999999</v>
      </c>
      <c r="AC42">
        <v>14.105</v>
      </c>
      <c r="AD42">
        <v>11.680999999999999</v>
      </c>
      <c r="AE42">
        <v>12.175000000000001</v>
      </c>
      <c r="AF42">
        <v>11.634</v>
      </c>
      <c r="AG42">
        <v>12.843</v>
      </c>
      <c r="AH42">
        <v>14.587</v>
      </c>
      <c r="AI42">
        <v>12.06</v>
      </c>
      <c r="AJ42">
        <v>13.865</v>
      </c>
      <c r="AK42">
        <v>15.6</v>
      </c>
      <c r="AL42">
        <v>14.120206</v>
      </c>
      <c r="AM42">
        <v>11.90963</v>
      </c>
      <c r="AN42">
        <v>11.897052214725999</v>
      </c>
      <c r="AO42">
        <v>11.889150026757999</v>
      </c>
      <c r="AP42">
        <v>15.192555</v>
      </c>
      <c r="AQ42">
        <v>13.989416</v>
      </c>
      <c r="AR42">
        <v>260.08199999999999</v>
      </c>
      <c r="AS42">
        <v>322.82100000000003</v>
      </c>
      <c r="AT42">
        <v>382.59100000000001</v>
      </c>
      <c r="AU42">
        <v>408.95</v>
      </c>
      <c r="AV42">
        <v>429.07299999999998</v>
      </c>
      <c r="AW42">
        <v>617.90300000000002</v>
      </c>
      <c r="AX42">
        <v>395.11799999999999</v>
      </c>
      <c r="AY42">
        <v>277.60899999999998</v>
      </c>
      <c r="AZ42">
        <v>275.18799999999999</v>
      </c>
      <c r="BA42">
        <v>230.60900000000001</v>
      </c>
      <c r="BB42">
        <v>474.68599999999998</v>
      </c>
      <c r="BC42">
        <v>339.827</v>
      </c>
      <c r="BD42">
        <v>310.48899999999998</v>
      </c>
      <c r="BE42">
        <v>529.16099999999994</v>
      </c>
      <c r="BF42">
        <v>449.05065400000001</v>
      </c>
      <c r="BG42">
        <v>396.48917999999998</v>
      </c>
      <c r="BH42">
        <v>384.99303200967199</v>
      </c>
      <c r="BI42">
        <v>381.5604664887</v>
      </c>
      <c r="BJ42">
        <v>451.36642499999999</v>
      </c>
      <c r="BK42">
        <v>447.70480800000001</v>
      </c>
      <c r="BL42" cm="1">
        <f t="array" ref="BL42">INDEX(R42:W42,0,MATCH($A42,$R$1:$W$1,0))</f>
        <v>0.49209999999999998</v>
      </c>
      <c r="BM42" cm="1">
        <f t="array" ref="BM42">INDEX(AL42:AQ42,0,MATCH($A42,$R$1:$W$1,0))</f>
        <v>13.989416</v>
      </c>
      <c r="BN42" cm="1">
        <f t="array" ref="BN42">INDEX(BF42:BK42,0,MATCH($A42,$R$1:$W$1,0))</f>
        <v>447.70480800000001</v>
      </c>
    </row>
    <row r="43" spans="1:66" x14ac:dyDescent="0.35">
      <c r="A43" t="s">
        <v>63</v>
      </c>
      <c r="B43">
        <v>440709</v>
      </c>
      <c r="C43">
        <v>2003</v>
      </c>
      <c r="D43">
        <v>0.31433333333333302</v>
      </c>
      <c r="E43">
        <v>0.69766666666666599</v>
      </c>
      <c r="F43">
        <v>0.66600000000000004</v>
      </c>
      <c r="G43">
        <v>0.63900000000000001</v>
      </c>
      <c r="H43">
        <v>0.65</v>
      </c>
      <c r="I43">
        <v>0.74199999999999999</v>
      </c>
      <c r="J43">
        <v>0.59899999999999998</v>
      </c>
      <c r="K43">
        <v>0.51166666666666605</v>
      </c>
      <c r="L43">
        <v>0.60666666666666602</v>
      </c>
      <c r="M43">
        <v>0.62266666666666604</v>
      </c>
      <c r="N43">
        <v>0.65166666666666595</v>
      </c>
      <c r="O43">
        <v>0.71566666666666601</v>
      </c>
      <c r="P43">
        <v>0.60599999999999998</v>
      </c>
      <c r="Q43">
        <v>0.59833333333333305</v>
      </c>
      <c r="R43">
        <v>0.71507333333333301</v>
      </c>
      <c r="S43">
        <v>0.63978333333333304</v>
      </c>
      <c r="T43">
        <v>0.639947777457333</v>
      </c>
      <c r="U43">
        <v>0.62646381073333302</v>
      </c>
      <c r="V43">
        <v>0.71109166666666601</v>
      </c>
      <c r="W43">
        <v>0.72702199999999995</v>
      </c>
      <c r="X43">
        <v>11.138</v>
      </c>
      <c r="Y43">
        <v>16.713999999999999</v>
      </c>
      <c r="Z43">
        <v>16.227</v>
      </c>
      <c r="AA43">
        <v>16.666</v>
      </c>
      <c r="AB43">
        <v>16.283999999999999</v>
      </c>
      <c r="AC43">
        <v>15.975</v>
      </c>
      <c r="AD43">
        <v>13.999000000000001</v>
      </c>
      <c r="AE43">
        <v>16.303000000000001</v>
      </c>
      <c r="AF43">
        <v>16.754999999999999</v>
      </c>
      <c r="AG43">
        <v>17.385999999999999</v>
      </c>
      <c r="AH43">
        <v>13.956</v>
      </c>
      <c r="AI43">
        <v>17.329999999999998</v>
      </c>
      <c r="AJ43">
        <v>15.645</v>
      </c>
      <c r="AK43">
        <v>14.919</v>
      </c>
      <c r="AL43">
        <v>17.299592000000001</v>
      </c>
      <c r="AM43">
        <v>15.10608</v>
      </c>
      <c r="AN43">
        <v>15.9570466582029</v>
      </c>
      <c r="AO43">
        <v>15.889911459098</v>
      </c>
      <c r="AP43">
        <v>17.456614999999999</v>
      </c>
      <c r="AQ43">
        <v>18.062861999999999</v>
      </c>
      <c r="AR43">
        <v>294.76</v>
      </c>
      <c r="AS43">
        <v>386.13499999999999</v>
      </c>
      <c r="AT43">
        <v>469.93299999999999</v>
      </c>
      <c r="AU43">
        <v>630.45899999999995</v>
      </c>
      <c r="AV43">
        <v>584.995</v>
      </c>
      <c r="AW43">
        <v>1200.4169999999999</v>
      </c>
      <c r="AX43">
        <v>1015.734</v>
      </c>
      <c r="AY43">
        <v>353.95800000000003</v>
      </c>
      <c r="AZ43">
        <v>526.346</v>
      </c>
      <c r="BA43">
        <v>279.88099999999997</v>
      </c>
      <c r="BB43">
        <v>962.99800000000005</v>
      </c>
      <c r="BC43">
        <v>795.27700000000004</v>
      </c>
      <c r="BD43">
        <v>347.92599999999999</v>
      </c>
      <c r="BE43">
        <v>887.39200000000005</v>
      </c>
      <c r="BF43">
        <v>847.01701800000001</v>
      </c>
      <c r="BG43">
        <v>947.60222999999996</v>
      </c>
      <c r="BH43">
        <v>605.31242631235602</v>
      </c>
      <c r="BI43">
        <v>639.86746415369396</v>
      </c>
      <c r="BJ43">
        <v>858.30936999999994</v>
      </c>
      <c r="BK43">
        <v>811.89864799999998</v>
      </c>
      <c r="BL43" cm="1">
        <f t="array" ref="BL43">INDEX(R43:W43,0,MATCH($A43,$R$1:$W$1,0))</f>
        <v>0.62646381073333302</v>
      </c>
      <c r="BM43" cm="1">
        <f t="array" ref="BM43">INDEX(AL43:AQ43,0,MATCH($A43,$R$1:$W$1,0))</f>
        <v>15.889911459098</v>
      </c>
      <c r="BN43" cm="1">
        <f t="array" ref="BN43">INDEX(BF43:BK43,0,MATCH($A43,$R$1:$W$1,0))</f>
        <v>639.86746415369396</v>
      </c>
    </row>
    <row r="44" spans="1:66" x14ac:dyDescent="0.35">
      <c r="A44" t="s">
        <v>64</v>
      </c>
      <c r="B44">
        <v>400907</v>
      </c>
      <c r="C44">
        <v>2003</v>
      </c>
      <c r="D44">
        <v>0.31433333333333302</v>
      </c>
      <c r="E44">
        <v>0.69766666666666599</v>
      </c>
      <c r="F44">
        <v>0.66600000000000004</v>
      </c>
      <c r="G44">
        <v>0.63900000000000001</v>
      </c>
      <c r="H44">
        <v>0.65</v>
      </c>
      <c r="I44">
        <v>0.74199999999999999</v>
      </c>
      <c r="J44">
        <v>0.59899999999999998</v>
      </c>
      <c r="K44">
        <v>0.51166666666666605</v>
      </c>
      <c r="L44">
        <v>0.60666666666666602</v>
      </c>
      <c r="M44">
        <v>0.62266666666666604</v>
      </c>
      <c r="N44">
        <v>0.65166666666666595</v>
      </c>
      <c r="O44">
        <v>0.71566666666666601</v>
      </c>
      <c r="P44">
        <v>0.60599999999999998</v>
      </c>
      <c r="Q44">
        <v>0.59833333333333305</v>
      </c>
      <c r="R44">
        <v>0.71507333333333301</v>
      </c>
      <c r="S44">
        <v>0.63978333333333304</v>
      </c>
      <c r="T44">
        <v>0.639947777457333</v>
      </c>
      <c r="U44">
        <v>0.62646381073333302</v>
      </c>
      <c r="V44">
        <v>0.71109166666666601</v>
      </c>
      <c r="W44">
        <v>0.72702199999999995</v>
      </c>
      <c r="X44">
        <v>11.138</v>
      </c>
      <c r="Y44">
        <v>16.713999999999999</v>
      </c>
      <c r="Z44">
        <v>16.227</v>
      </c>
      <c r="AA44">
        <v>16.666</v>
      </c>
      <c r="AB44">
        <v>16.283999999999999</v>
      </c>
      <c r="AC44">
        <v>15.975</v>
      </c>
      <c r="AD44">
        <v>13.999000000000001</v>
      </c>
      <c r="AE44">
        <v>16.303000000000001</v>
      </c>
      <c r="AF44">
        <v>16.754999999999999</v>
      </c>
      <c r="AG44">
        <v>17.385999999999999</v>
      </c>
      <c r="AH44">
        <v>13.956</v>
      </c>
      <c r="AI44">
        <v>17.329999999999998</v>
      </c>
      <c r="AJ44">
        <v>15.645</v>
      </c>
      <c r="AK44">
        <v>14.919</v>
      </c>
      <c r="AL44">
        <v>17.299592000000001</v>
      </c>
      <c r="AM44">
        <v>15.10608</v>
      </c>
      <c r="AN44">
        <v>15.9570466582029</v>
      </c>
      <c r="AO44">
        <v>15.889911459098</v>
      </c>
      <c r="AP44">
        <v>17.456614999999999</v>
      </c>
      <c r="AQ44">
        <v>18.062861999999999</v>
      </c>
      <c r="AR44">
        <v>294.76</v>
      </c>
      <c r="AS44">
        <v>386.13499999999999</v>
      </c>
      <c r="AT44">
        <v>469.93299999999999</v>
      </c>
      <c r="AU44">
        <v>630.45899999999995</v>
      </c>
      <c r="AV44">
        <v>584.995</v>
      </c>
      <c r="AW44">
        <v>1200.4169999999999</v>
      </c>
      <c r="AX44">
        <v>1015.734</v>
      </c>
      <c r="AY44">
        <v>353.95800000000003</v>
      </c>
      <c r="AZ44">
        <v>526.346</v>
      </c>
      <c r="BA44">
        <v>279.88099999999997</v>
      </c>
      <c r="BB44">
        <v>962.99800000000005</v>
      </c>
      <c r="BC44">
        <v>795.27700000000004</v>
      </c>
      <c r="BD44">
        <v>347.92599999999999</v>
      </c>
      <c r="BE44">
        <v>887.39200000000005</v>
      </c>
      <c r="BF44">
        <v>847.01701800000001</v>
      </c>
      <c r="BG44">
        <v>947.60222999999996</v>
      </c>
      <c r="BH44">
        <v>605.31242631235602</v>
      </c>
      <c r="BI44">
        <v>639.86746415369396</v>
      </c>
      <c r="BJ44">
        <v>858.30936999999994</v>
      </c>
      <c r="BK44">
        <v>811.89864799999998</v>
      </c>
      <c r="BL44" cm="1">
        <f t="array" ref="BL44">INDEX(R44:W44,0,MATCH($A44,$R$1:$W$1,0))</f>
        <v>0.71507333333333301</v>
      </c>
      <c r="BM44" cm="1">
        <f t="array" ref="BM44">INDEX(AL44:AQ44,0,MATCH($A44,$R$1:$W$1,0))</f>
        <v>17.299592000000001</v>
      </c>
      <c r="BN44" cm="1">
        <f t="array" ref="BN44">INDEX(BF44:BK44,0,MATCH($A44,$R$1:$W$1,0))</f>
        <v>847.01701800000001</v>
      </c>
    </row>
    <row r="45" spans="1:66" x14ac:dyDescent="0.35">
      <c r="A45" t="s">
        <v>65</v>
      </c>
      <c r="B45">
        <v>628426</v>
      </c>
      <c r="C45">
        <v>2003</v>
      </c>
      <c r="D45">
        <v>0.31433333333333302</v>
      </c>
      <c r="E45">
        <v>0.69766666666666599</v>
      </c>
      <c r="F45">
        <v>0.66600000000000004</v>
      </c>
      <c r="G45">
        <v>0.63900000000000001</v>
      </c>
      <c r="H45">
        <v>0.65</v>
      </c>
      <c r="I45">
        <v>0.74199999999999999</v>
      </c>
      <c r="J45">
        <v>0.59899999999999998</v>
      </c>
      <c r="K45">
        <v>0.51166666666666605</v>
      </c>
      <c r="L45">
        <v>0.60666666666666602</v>
      </c>
      <c r="M45">
        <v>0.62266666666666604</v>
      </c>
      <c r="N45">
        <v>0.65166666666666595</v>
      </c>
      <c r="O45">
        <v>0.71566666666666601</v>
      </c>
      <c r="P45">
        <v>0.60599999999999998</v>
      </c>
      <c r="Q45">
        <v>0.59833333333333305</v>
      </c>
      <c r="R45">
        <v>0.71507333333333301</v>
      </c>
      <c r="S45">
        <v>0.63978333333333304</v>
      </c>
      <c r="T45">
        <v>0.639947777457333</v>
      </c>
      <c r="U45">
        <v>0.62646381073333302</v>
      </c>
      <c r="V45">
        <v>0.71109166666666601</v>
      </c>
      <c r="W45">
        <v>0.72702199999999995</v>
      </c>
      <c r="X45">
        <v>11.138</v>
      </c>
      <c r="Y45">
        <v>16.713999999999999</v>
      </c>
      <c r="Z45">
        <v>16.227</v>
      </c>
      <c r="AA45">
        <v>16.666</v>
      </c>
      <c r="AB45">
        <v>16.283999999999999</v>
      </c>
      <c r="AC45">
        <v>15.975</v>
      </c>
      <c r="AD45">
        <v>13.999000000000001</v>
      </c>
      <c r="AE45">
        <v>16.303000000000001</v>
      </c>
      <c r="AF45">
        <v>16.754999999999999</v>
      </c>
      <c r="AG45">
        <v>17.385999999999999</v>
      </c>
      <c r="AH45">
        <v>13.956</v>
      </c>
      <c r="AI45">
        <v>17.329999999999998</v>
      </c>
      <c r="AJ45">
        <v>15.645</v>
      </c>
      <c r="AK45">
        <v>14.919</v>
      </c>
      <c r="AL45">
        <v>17.299592000000001</v>
      </c>
      <c r="AM45">
        <v>15.10608</v>
      </c>
      <c r="AN45">
        <v>15.9570466582029</v>
      </c>
      <c r="AO45">
        <v>15.889911459098</v>
      </c>
      <c r="AP45">
        <v>17.456614999999999</v>
      </c>
      <c r="AQ45">
        <v>18.062861999999999</v>
      </c>
      <c r="AR45">
        <v>294.76</v>
      </c>
      <c r="AS45">
        <v>386.13499999999999</v>
      </c>
      <c r="AT45">
        <v>469.93299999999999</v>
      </c>
      <c r="AU45">
        <v>630.45899999999995</v>
      </c>
      <c r="AV45">
        <v>584.995</v>
      </c>
      <c r="AW45">
        <v>1200.4169999999999</v>
      </c>
      <c r="AX45">
        <v>1015.734</v>
      </c>
      <c r="AY45">
        <v>353.95800000000003</v>
      </c>
      <c r="AZ45">
        <v>526.346</v>
      </c>
      <c r="BA45">
        <v>279.88099999999997</v>
      </c>
      <c r="BB45">
        <v>962.99800000000005</v>
      </c>
      <c r="BC45">
        <v>795.27700000000004</v>
      </c>
      <c r="BD45">
        <v>347.92599999999999</v>
      </c>
      <c r="BE45">
        <v>887.39200000000005</v>
      </c>
      <c r="BF45">
        <v>847.01701800000001</v>
      </c>
      <c r="BG45">
        <v>947.60222999999996</v>
      </c>
      <c r="BH45">
        <v>605.31242631235602</v>
      </c>
      <c r="BI45">
        <v>639.86746415369396</v>
      </c>
      <c r="BJ45">
        <v>858.30936999999994</v>
      </c>
      <c r="BK45">
        <v>811.89864799999998</v>
      </c>
      <c r="BL45" cm="1">
        <f t="array" ref="BL45">INDEX(R45:W45,0,MATCH($A45,$R$1:$W$1,0))</f>
        <v>0.639947777457333</v>
      </c>
      <c r="BM45" cm="1">
        <f t="array" ref="BM45">INDEX(AL45:AQ45,0,MATCH($A45,$R$1:$W$1,0))</f>
        <v>15.9570466582029</v>
      </c>
      <c r="BN45" cm="1">
        <f t="array" ref="BN45">INDEX(BF45:BK45,0,MATCH($A45,$R$1:$W$1,0))</f>
        <v>605.31242631235602</v>
      </c>
    </row>
    <row r="46" spans="1:66" x14ac:dyDescent="0.35">
      <c r="A46" t="s">
        <v>66</v>
      </c>
      <c r="B46">
        <v>231805</v>
      </c>
      <c r="C46">
        <v>2003</v>
      </c>
      <c r="D46">
        <v>0.31433333333333302</v>
      </c>
      <c r="E46">
        <v>0.69766666666666599</v>
      </c>
      <c r="F46">
        <v>0.66600000000000004</v>
      </c>
      <c r="G46">
        <v>0.63900000000000001</v>
      </c>
      <c r="H46">
        <v>0.65</v>
      </c>
      <c r="I46">
        <v>0.74199999999999999</v>
      </c>
      <c r="J46">
        <v>0.59899999999999998</v>
      </c>
      <c r="K46">
        <v>0.51166666666666605</v>
      </c>
      <c r="L46">
        <v>0.60666666666666602</v>
      </c>
      <c r="M46">
        <v>0.62266666666666604</v>
      </c>
      <c r="N46">
        <v>0.65166666666666595</v>
      </c>
      <c r="O46">
        <v>0.71566666666666601</v>
      </c>
      <c r="P46">
        <v>0.60599999999999998</v>
      </c>
      <c r="Q46">
        <v>0.59833333333333305</v>
      </c>
      <c r="R46">
        <v>0.71507333333333301</v>
      </c>
      <c r="S46">
        <v>0.63978333333333304</v>
      </c>
      <c r="T46">
        <v>0.639947777457333</v>
      </c>
      <c r="U46">
        <v>0.62646381073333302</v>
      </c>
      <c r="V46">
        <v>0.71109166666666601</v>
      </c>
      <c r="W46">
        <v>0.72702199999999995</v>
      </c>
      <c r="X46">
        <v>11.138</v>
      </c>
      <c r="Y46">
        <v>16.713999999999999</v>
      </c>
      <c r="Z46">
        <v>16.227</v>
      </c>
      <c r="AA46">
        <v>16.666</v>
      </c>
      <c r="AB46">
        <v>16.283999999999999</v>
      </c>
      <c r="AC46">
        <v>15.975</v>
      </c>
      <c r="AD46">
        <v>13.999000000000001</v>
      </c>
      <c r="AE46">
        <v>16.303000000000001</v>
      </c>
      <c r="AF46">
        <v>16.754999999999999</v>
      </c>
      <c r="AG46">
        <v>17.385999999999999</v>
      </c>
      <c r="AH46">
        <v>13.956</v>
      </c>
      <c r="AI46">
        <v>17.329999999999998</v>
      </c>
      <c r="AJ46">
        <v>15.645</v>
      </c>
      <c r="AK46">
        <v>14.919</v>
      </c>
      <c r="AL46">
        <v>17.299592000000001</v>
      </c>
      <c r="AM46">
        <v>15.10608</v>
      </c>
      <c r="AN46">
        <v>15.9570466582029</v>
      </c>
      <c r="AO46">
        <v>15.889911459098</v>
      </c>
      <c r="AP46">
        <v>17.456614999999999</v>
      </c>
      <c r="AQ46">
        <v>18.062861999999999</v>
      </c>
      <c r="AR46">
        <v>294.76</v>
      </c>
      <c r="AS46">
        <v>386.13499999999999</v>
      </c>
      <c r="AT46">
        <v>469.93299999999999</v>
      </c>
      <c r="AU46">
        <v>630.45899999999995</v>
      </c>
      <c r="AV46">
        <v>584.995</v>
      </c>
      <c r="AW46">
        <v>1200.4169999999999</v>
      </c>
      <c r="AX46">
        <v>1015.734</v>
      </c>
      <c r="AY46">
        <v>353.95800000000003</v>
      </c>
      <c r="AZ46">
        <v>526.346</v>
      </c>
      <c r="BA46">
        <v>279.88099999999997</v>
      </c>
      <c r="BB46">
        <v>962.99800000000005</v>
      </c>
      <c r="BC46">
        <v>795.27700000000004</v>
      </c>
      <c r="BD46">
        <v>347.92599999999999</v>
      </c>
      <c r="BE46">
        <v>887.39200000000005</v>
      </c>
      <c r="BF46">
        <v>847.01701800000001</v>
      </c>
      <c r="BG46">
        <v>947.60222999999996</v>
      </c>
      <c r="BH46">
        <v>605.31242631235602</v>
      </c>
      <c r="BI46">
        <v>639.86746415369396</v>
      </c>
      <c r="BJ46">
        <v>858.30936999999994</v>
      </c>
      <c r="BK46">
        <v>811.89864799999998</v>
      </c>
      <c r="BL46" cm="1">
        <f t="array" ref="BL46">INDEX(R46:W46,0,MATCH($A46,$R$1:$W$1,0))</f>
        <v>0.71109166666666601</v>
      </c>
      <c r="BM46" cm="1">
        <f t="array" ref="BM46">INDEX(AL46:AQ46,0,MATCH($A46,$R$1:$W$1,0))</f>
        <v>17.456614999999999</v>
      </c>
      <c r="BN46" cm="1">
        <f t="array" ref="BN46">INDEX(BF46:BK46,0,MATCH($A46,$R$1:$W$1,0))</f>
        <v>858.30936999999994</v>
      </c>
    </row>
    <row r="47" spans="1:66" x14ac:dyDescent="0.35">
      <c r="A47" t="s">
        <v>67</v>
      </c>
      <c r="B47">
        <v>189787</v>
      </c>
      <c r="C47">
        <v>2003</v>
      </c>
      <c r="D47">
        <v>0.31433333333333302</v>
      </c>
      <c r="E47">
        <v>0.69766666666666599</v>
      </c>
      <c r="F47">
        <v>0.66600000000000004</v>
      </c>
      <c r="G47">
        <v>0.63900000000000001</v>
      </c>
      <c r="H47">
        <v>0.65</v>
      </c>
      <c r="I47">
        <v>0.74199999999999999</v>
      </c>
      <c r="J47">
        <v>0.59899999999999998</v>
      </c>
      <c r="K47">
        <v>0.51166666666666605</v>
      </c>
      <c r="L47">
        <v>0.60666666666666602</v>
      </c>
      <c r="M47">
        <v>0.62266666666666604</v>
      </c>
      <c r="N47">
        <v>0.65166666666666595</v>
      </c>
      <c r="O47">
        <v>0.71566666666666601</v>
      </c>
      <c r="P47">
        <v>0.60599999999999998</v>
      </c>
      <c r="Q47">
        <v>0.59833333333333305</v>
      </c>
      <c r="R47">
        <v>0.71507333333333301</v>
      </c>
      <c r="S47">
        <v>0.63978333333333304</v>
      </c>
      <c r="T47">
        <v>0.639947777457333</v>
      </c>
      <c r="U47">
        <v>0.62646381073333302</v>
      </c>
      <c r="V47">
        <v>0.71109166666666601</v>
      </c>
      <c r="W47">
        <v>0.72702199999999995</v>
      </c>
      <c r="X47">
        <v>11.138</v>
      </c>
      <c r="Y47">
        <v>16.713999999999999</v>
      </c>
      <c r="Z47">
        <v>16.227</v>
      </c>
      <c r="AA47">
        <v>16.666</v>
      </c>
      <c r="AB47">
        <v>16.283999999999999</v>
      </c>
      <c r="AC47">
        <v>15.975</v>
      </c>
      <c r="AD47">
        <v>13.999000000000001</v>
      </c>
      <c r="AE47">
        <v>16.303000000000001</v>
      </c>
      <c r="AF47">
        <v>16.754999999999999</v>
      </c>
      <c r="AG47">
        <v>17.385999999999999</v>
      </c>
      <c r="AH47">
        <v>13.956</v>
      </c>
      <c r="AI47">
        <v>17.329999999999998</v>
      </c>
      <c r="AJ47">
        <v>15.645</v>
      </c>
      <c r="AK47">
        <v>14.919</v>
      </c>
      <c r="AL47">
        <v>17.299592000000001</v>
      </c>
      <c r="AM47">
        <v>15.10608</v>
      </c>
      <c r="AN47">
        <v>15.9570466582029</v>
      </c>
      <c r="AO47">
        <v>15.889911459098</v>
      </c>
      <c r="AP47">
        <v>17.456614999999999</v>
      </c>
      <c r="AQ47">
        <v>18.062861999999999</v>
      </c>
      <c r="AR47">
        <v>294.76</v>
      </c>
      <c r="AS47">
        <v>386.13499999999999</v>
      </c>
      <c r="AT47">
        <v>469.93299999999999</v>
      </c>
      <c r="AU47">
        <v>630.45899999999995</v>
      </c>
      <c r="AV47">
        <v>584.995</v>
      </c>
      <c r="AW47">
        <v>1200.4169999999999</v>
      </c>
      <c r="AX47">
        <v>1015.734</v>
      </c>
      <c r="AY47">
        <v>353.95800000000003</v>
      </c>
      <c r="AZ47">
        <v>526.346</v>
      </c>
      <c r="BA47">
        <v>279.88099999999997</v>
      </c>
      <c r="BB47">
        <v>962.99800000000005</v>
      </c>
      <c r="BC47">
        <v>795.27700000000004</v>
      </c>
      <c r="BD47">
        <v>347.92599999999999</v>
      </c>
      <c r="BE47">
        <v>887.39200000000005</v>
      </c>
      <c r="BF47">
        <v>847.01701800000001</v>
      </c>
      <c r="BG47">
        <v>947.60222999999996</v>
      </c>
      <c r="BH47">
        <v>605.31242631235602</v>
      </c>
      <c r="BI47">
        <v>639.86746415369396</v>
      </c>
      <c r="BJ47">
        <v>858.30936999999994</v>
      </c>
      <c r="BK47">
        <v>811.89864799999998</v>
      </c>
      <c r="BL47" cm="1">
        <f t="array" ref="BL47">INDEX(R47:W47,0,MATCH($A47,$R$1:$W$1,0))</f>
        <v>0.72702199999999995</v>
      </c>
      <c r="BM47" cm="1">
        <f t="array" ref="BM47">INDEX(AL47:AQ47,0,MATCH($A47,$R$1:$W$1,0))</f>
        <v>18.062861999999999</v>
      </c>
      <c r="BN47" cm="1">
        <f t="array" ref="BN47">INDEX(BF47:BK47,0,MATCH($A47,$R$1:$W$1,0))</f>
        <v>811.89864799999998</v>
      </c>
    </row>
    <row r="48" spans="1:66" x14ac:dyDescent="0.35">
      <c r="A48" t="s">
        <v>63</v>
      </c>
      <c r="B48">
        <v>602621</v>
      </c>
      <c r="C48">
        <v>2004</v>
      </c>
      <c r="D48">
        <v>0.24233333333333301</v>
      </c>
      <c r="E48">
        <v>0.359333333333333</v>
      </c>
      <c r="F48">
        <v>0.42499999999999999</v>
      </c>
      <c r="G48">
        <v>0.50433333333333297</v>
      </c>
      <c r="H48">
        <v>0.49233333333333301</v>
      </c>
      <c r="I48">
        <v>0.59</v>
      </c>
      <c r="J48">
        <v>0.56599999999999995</v>
      </c>
      <c r="K48">
        <v>0.42666666666666597</v>
      </c>
      <c r="L48">
        <v>0.48066666666666602</v>
      </c>
      <c r="M48">
        <v>0.45333333333333298</v>
      </c>
      <c r="N48">
        <v>0.57333333333333303</v>
      </c>
      <c r="O48">
        <v>0.50733333333333297</v>
      </c>
      <c r="P48">
        <v>0.33633333333333298</v>
      </c>
      <c r="Q48">
        <v>0.538333333333333</v>
      </c>
      <c r="R48">
        <v>0.56926933333333296</v>
      </c>
      <c r="S48">
        <v>0.549026666666666</v>
      </c>
      <c r="T48">
        <v>0.46881074048466598</v>
      </c>
      <c r="U48">
        <v>0.48033571521066598</v>
      </c>
      <c r="V48">
        <v>0.59112833333333303</v>
      </c>
      <c r="W48">
        <v>0.56963533333333305</v>
      </c>
      <c r="X48">
        <v>11.586</v>
      </c>
      <c r="Y48">
        <v>15.602</v>
      </c>
      <c r="Z48">
        <v>16.015000000000001</v>
      </c>
      <c r="AA48">
        <v>18.55</v>
      </c>
      <c r="AB48">
        <v>16.919</v>
      </c>
      <c r="AC48">
        <v>17.562000000000001</v>
      </c>
      <c r="AD48">
        <v>18.413</v>
      </c>
      <c r="AE48">
        <v>16.375</v>
      </c>
      <c r="AF48">
        <v>18.436</v>
      </c>
      <c r="AG48">
        <v>17.962</v>
      </c>
      <c r="AH48">
        <v>18.600999999999999</v>
      </c>
      <c r="AI48">
        <v>19.475000000000001</v>
      </c>
      <c r="AJ48">
        <v>14.048</v>
      </c>
      <c r="AK48">
        <v>17.736999999999998</v>
      </c>
      <c r="AL48">
        <v>19.897075999999998</v>
      </c>
      <c r="AM48">
        <v>18.621230000000001</v>
      </c>
      <c r="AN48">
        <v>17.113126657412899</v>
      </c>
      <c r="AO48">
        <v>17.333828604996</v>
      </c>
      <c r="AP48">
        <v>20.52552</v>
      </c>
      <c r="AQ48">
        <v>20.406548000000001</v>
      </c>
      <c r="AR48">
        <v>236.72499999999999</v>
      </c>
      <c r="AS48">
        <v>428.96100000000001</v>
      </c>
      <c r="AT48">
        <v>449.14299999999997</v>
      </c>
      <c r="AU48">
        <v>582.096</v>
      </c>
      <c r="AV48">
        <v>560.83600000000001</v>
      </c>
      <c r="AW48">
        <v>836.13799999999901</v>
      </c>
      <c r="AX48">
        <v>714.27599999999995</v>
      </c>
      <c r="AY48">
        <v>330.459</v>
      </c>
      <c r="AZ48">
        <v>372.59500000000003</v>
      </c>
      <c r="BA48">
        <v>166.74299999999999</v>
      </c>
      <c r="BB48">
        <v>767.23699999999997</v>
      </c>
      <c r="BC48">
        <v>621.45899999999995</v>
      </c>
      <c r="BD48">
        <v>302.62900000000002</v>
      </c>
      <c r="BE48">
        <v>744.654</v>
      </c>
      <c r="BF48">
        <v>676.01574000000005</v>
      </c>
      <c r="BG48">
        <v>690.76967999999897</v>
      </c>
      <c r="BH48">
        <v>533.64942751590502</v>
      </c>
      <c r="BI48">
        <v>538.95860101515802</v>
      </c>
      <c r="BJ48">
        <v>658.51789499999995</v>
      </c>
      <c r="BK48">
        <v>664.81685199999902</v>
      </c>
      <c r="BL48" cm="1">
        <f t="array" ref="BL48">INDEX(R48:W48,0,MATCH($A48,$R$1:$W$1,0))</f>
        <v>0.48033571521066598</v>
      </c>
      <c r="BM48" cm="1">
        <f t="array" ref="BM48">INDEX(AL48:AQ48,0,MATCH($A48,$R$1:$W$1,0))</f>
        <v>17.333828604996</v>
      </c>
      <c r="BN48" cm="1">
        <f t="array" ref="BN48">INDEX(BF48:BK48,0,MATCH($A48,$R$1:$W$1,0))</f>
        <v>538.95860101515802</v>
      </c>
    </row>
    <row r="49" spans="1:66" x14ac:dyDescent="0.35">
      <c r="A49" t="s">
        <v>64</v>
      </c>
      <c r="B49">
        <v>400555</v>
      </c>
      <c r="C49">
        <v>2004</v>
      </c>
      <c r="D49">
        <v>0.24233333333333301</v>
      </c>
      <c r="E49">
        <v>0.359333333333333</v>
      </c>
      <c r="F49">
        <v>0.42499999999999999</v>
      </c>
      <c r="G49">
        <v>0.50433333333333297</v>
      </c>
      <c r="H49">
        <v>0.49233333333333301</v>
      </c>
      <c r="I49">
        <v>0.59</v>
      </c>
      <c r="J49">
        <v>0.56599999999999995</v>
      </c>
      <c r="K49">
        <v>0.42666666666666597</v>
      </c>
      <c r="L49">
        <v>0.48066666666666602</v>
      </c>
      <c r="M49">
        <v>0.45333333333333298</v>
      </c>
      <c r="N49">
        <v>0.57333333333333303</v>
      </c>
      <c r="O49">
        <v>0.50733333333333297</v>
      </c>
      <c r="P49">
        <v>0.33633333333333298</v>
      </c>
      <c r="Q49">
        <v>0.538333333333333</v>
      </c>
      <c r="R49">
        <v>0.56926933333333296</v>
      </c>
      <c r="S49">
        <v>0.549026666666666</v>
      </c>
      <c r="T49">
        <v>0.46881074048466598</v>
      </c>
      <c r="U49">
        <v>0.48033571521066598</v>
      </c>
      <c r="V49">
        <v>0.59112833333333303</v>
      </c>
      <c r="W49">
        <v>0.56963533333333305</v>
      </c>
      <c r="X49">
        <v>11.586</v>
      </c>
      <c r="Y49">
        <v>15.602</v>
      </c>
      <c r="Z49">
        <v>16.015000000000001</v>
      </c>
      <c r="AA49">
        <v>18.55</v>
      </c>
      <c r="AB49">
        <v>16.919</v>
      </c>
      <c r="AC49">
        <v>17.562000000000001</v>
      </c>
      <c r="AD49">
        <v>18.413</v>
      </c>
      <c r="AE49">
        <v>16.375</v>
      </c>
      <c r="AF49">
        <v>18.436</v>
      </c>
      <c r="AG49">
        <v>17.962</v>
      </c>
      <c r="AH49">
        <v>18.600999999999999</v>
      </c>
      <c r="AI49">
        <v>19.475000000000001</v>
      </c>
      <c r="AJ49">
        <v>14.048</v>
      </c>
      <c r="AK49">
        <v>17.736999999999998</v>
      </c>
      <c r="AL49">
        <v>19.897075999999998</v>
      </c>
      <c r="AM49">
        <v>18.621230000000001</v>
      </c>
      <c r="AN49">
        <v>17.113126657412899</v>
      </c>
      <c r="AO49">
        <v>17.333828604996</v>
      </c>
      <c r="AP49">
        <v>20.52552</v>
      </c>
      <c r="AQ49">
        <v>20.406548000000001</v>
      </c>
      <c r="AR49">
        <v>236.72499999999999</v>
      </c>
      <c r="AS49">
        <v>428.96100000000001</v>
      </c>
      <c r="AT49">
        <v>449.14299999999997</v>
      </c>
      <c r="AU49">
        <v>582.096</v>
      </c>
      <c r="AV49">
        <v>560.83600000000001</v>
      </c>
      <c r="AW49">
        <v>836.13799999999901</v>
      </c>
      <c r="AX49">
        <v>714.27599999999995</v>
      </c>
      <c r="AY49">
        <v>330.459</v>
      </c>
      <c r="AZ49">
        <v>372.59500000000003</v>
      </c>
      <c r="BA49">
        <v>166.74299999999999</v>
      </c>
      <c r="BB49">
        <v>767.23699999999997</v>
      </c>
      <c r="BC49">
        <v>621.45899999999995</v>
      </c>
      <c r="BD49">
        <v>302.62900000000002</v>
      </c>
      <c r="BE49">
        <v>744.654</v>
      </c>
      <c r="BF49">
        <v>676.01574000000005</v>
      </c>
      <c r="BG49">
        <v>690.76967999999897</v>
      </c>
      <c r="BH49">
        <v>533.64942751590502</v>
      </c>
      <c r="BI49">
        <v>538.95860101515802</v>
      </c>
      <c r="BJ49">
        <v>658.51789499999995</v>
      </c>
      <c r="BK49">
        <v>664.81685199999902</v>
      </c>
      <c r="BL49" cm="1">
        <f t="array" ref="BL49">INDEX(R49:W49,0,MATCH($A49,$R$1:$W$1,0))</f>
        <v>0.56926933333333296</v>
      </c>
      <c r="BM49" cm="1">
        <f t="array" ref="BM49">INDEX(AL49:AQ49,0,MATCH($A49,$R$1:$W$1,0))</f>
        <v>19.897075999999998</v>
      </c>
      <c r="BN49" cm="1">
        <f t="array" ref="BN49">INDEX(BF49:BK49,0,MATCH($A49,$R$1:$W$1,0))</f>
        <v>676.01574000000005</v>
      </c>
    </row>
    <row r="50" spans="1:66" x14ac:dyDescent="0.35">
      <c r="A50" t="s">
        <v>65</v>
      </c>
      <c r="B50">
        <v>323752</v>
      </c>
      <c r="C50">
        <v>2004</v>
      </c>
      <c r="D50">
        <v>0.24233333333333301</v>
      </c>
      <c r="E50">
        <v>0.359333333333333</v>
      </c>
      <c r="F50">
        <v>0.42499999999999999</v>
      </c>
      <c r="G50">
        <v>0.50433333333333297</v>
      </c>
      <c r="H50">
        <v>0.49233333333333301</v>
      </c>
      <c r="I50">
        <v>0.59</v>
      </c>
      <c r="J50">
        <v>0.56599999999999995</v>
      </c>
      <c r="K50">
        <v>0.42666666666666597</v>
      </c>
      <c r="L50">
        <v>0.48066666666666602</v>
      </c>
      <c r="M50">
        <v>0.45333333333333298</v>
      </c>
      <c r="N50">
        <v>0.57333333333333303</v>
      </c>
      <c r="O50">
        <v>0.50733333333333297</v>
      </c>
      <c r="P50">
        <v>0.33633333333333298</v>
      </c>
      <c r="Q50">
        <v>0.538333333333333</v>
      </c>
      <c r="R50">
        <v>0.56926933333333296</v>
      </c>
      <c r="S50">
        <v>0.549026666666666</v>
      </c>
      <c r="T50">
        <v>0.46881074048466598</v>
      </c>
      <c r="U50">
        <v>0.48033571521066598</v>
      </c>
      <c r="V50">
        <v>0.59112833333333303</v>
      </c>
      <c r="W50">
        <v>0.56963533333333305</v>
      </c>
      <c r="X50">
        <v>11.586</v>
      </c>
      <c r="Y50">
        <v>15.602</v>
      </c>
      <c r="Z50">
        <v>16.015000000000001</v>
      </c>
      <c r="AA50">
        <v>18.55</v>
      </c>
      <c r="AB50">
        <v>16.919</v>
      </c>
      <c r="AC50">
        <v>17.562000000000001</v>
      </c>
      <c r="AD50">
        <v>18.413</v>
      </c>
      <c r="AE50">
        <v>16.375</v>
      </c>
      <c r="AF50">
        <v>18.436</v>
      </c>
      <c r="AG50">
        <v>17.962</v>
      </c>
      <c r="AH50">
        <v>18.600999999999999</v>
      </c>
      <c r="AI50">
        <v>19.475000000000001</v>
      </c>
      <c r="AJ50">
        <v>14.048</v>
      </c>
      <c r="AK50">
        <v>17.736999999999998</v>
      </c>
      <c r="AL50">
        <v>19.897075999999998</v>
      </c>
      <c r="AM50">
        <v>18.621230000000001</v>
      </c>
      <c r="AN50">
        <v>17.113126657412899</v>
      </c>
      <c r="AO50">
        <v>17.333828604996</v>
      </c>
      <c r="AP50">
        <v>20.52552</v>
      </c>
      <c r="AQ50">
        <v>20.406548000000001</v>
      </c>
      <c r="AR50">
        <v>236.72499999999999</v>
      </c>
      <c r="AS50">
        <v>428.96100000000001</v>
      </c>
      <c r="AT50">
        <v>449.14299999999997</v>
      </c>
      <c r="AU50">
        <v>582.096</v>
      </c>
      <c r="AV50">
        <v>560.83600000000001</v>
      </c>
      <c r="AW50">
        <v>836.13799999999901</v>
      </c>
      <c r="AX50">
        <v>714.27599999999995</v>
      </c>
      <c r="AY50">
        <v>330.459</v>
      </c>
      <c r="AZ50">
        <v>372.59500000000003</v>
      </c>
      <c r="BA50">
        <v>166.74299999999999</v>
      </c>
      <c r="BB50">
        <v>767.23699999999997</v>
      </c>
      <c r="BC50">
        <v>621.45899999999995</v>
      </c>
      <c r="BD50">
        <v>302.62900000000002</v>
      </c>
      <c r="BE50">
        <v>744.654</v>
      </c>
      <c r="BF50">
        <v>676.01574000000005</v>
      </c>
      <c r="BG50">
        <v>690.76967999999897</v>
      </c>
      <c r="BH50">
        <v>533.64942751590502</v>
      </c>
      <c r="BI50">
        <v>538.95860101515802</v>
      </c>
      <c r="BJ50">
        <v>658.51789499999995</v>
      </c>
      <c r="BK50">
        <v>664.81685199999902</v>
      </c>
      <c r="BL50" cm="1">
        <f t="array" ref="BL50">INDEX(R50:W50,0,MATCH($A50,$R$1:$W$1,0))</f>
        <v>0.46881074048466598</v>
      </c>
      <c r="BM50" cm="1">
        <f t="array" ref="BM50">INDEX(AL50:AQ50,0,MATCH($A50,$R$1:$W$1,0))</f>
        <v>17.113126657412899</v>
      </c>
      <c r="BN50" cm="1">
        <f t="array" ref="BN50">INDEX(BF50:BK50,0,MATCH($A50,$R$1:$W$1,0))</f>
        <v>533.64942751590502</v>
      </c>
    </row>
    <row r="51" spans="1:66" x14ac:dyDescent="0.35">
      <c r="A51" t="s">
        <v>66</v>
      </c>
      <c r="B51">
        <v>201744</v>
      </c>
      <c r="C51">
        <v>2004</v>
      </c>
      <c r="D51">
        <v>0.24233333333333301</v>
      </c>
      <c r="E51">
        <v>0.359333333333333</v>
      </c>
      <c r="F51">
        <v>0.42499999999999999</v>
      </c>
      <c r="G51">
        <v>0.50433333333333297</v>
      </c>
      <c r="H51">
        <v>0.49233333333333301</v>
      </c>
      <c r="I51">
        <v>0.59</v>
      </c>
      <c r="J51">
        <v>0.56599999999999995</v>
      </c>
      <c r="K51">
        <v>0.42666666666666597</v>
      </c>
      <c r="L51">
        <v>0.48066666666666602</v>
      </c>
      <c r="M51">
        <v>0.45333333333333298</v>
      </c>
      <c r="N51">
        <v>0.57333333333333303</v>
      </c>
      <c r="O51">
        <v>0.50733333333333297</v>
      </c>
      <c r="P51">
        <v>0.33633333333333298</v>
      </c>
      <c r="Q51">
        <v>0.538333333333333</v>
      </c>
      <c r="R51">
        <v>0.56926933333333296</v>
      </c>
      <c r="S51">
        <v>0.549026666666666</v>
      </c>
      <c r="T51">
        <v>0.46881074048466598</v>
      </c>
      <c r="U51">
        <v>0.48033571521066598</v>
      </c>
      <c r="V51">
        <v>0.59112833333333303</v>
      </c>
      <c r="W51">
        <v>0.56963533333333305</v>
      </c>
      <c r="X51">
        <v>11.586</v>
      </c>
      <c r="Y51">
        <v>15.602</v>
      </c>
      <c r="Z51">
        <v>16.015000000000001</v>
      </c>
      <c r="AA51">
        <v>18.55</v>
      </c>
      <c r="AB51">
        <v>16.919</v>
      </c>
      <c r="AC51">
        <v>17.562000000000001</v>
      </c>
      <c r="AD51">
        <v>18.413</v>
      </c>
      <c r="AE51">
        <v>16.375</v>
      </c>
      <c r="AF51">
        <v>18.436</v>
      </c>
      <c r="AG51">
        <v>17.962</v>
      </c>
      <c r="AH51">
        <v>18.600999999999999</v>
      </c>
      <c r="AI51">
        <v>19.475000000000001</v>
      </c>
      <c r="AJ51">
        <v>14.048</v>
      </c>
      <c r="AK51">
        <v>17.736999999999998</v>
      </c>
      <c r="AL51">
        <v>19.897075999999998</v>
      </c>
      <c r="AM51">
        <v>18.621230000000001</v>
      </c>
      <c r="AN51">
        <v>17.113126657412899</v>
      </c>
      <c r="AO51">
        <v>17.333828604996</v>
      </c>
      <c r="AP51">
        <v>20.52552</v>
      </c>
      <c r="AQ51">
        <v>20.406548000000001</v>
      </c>
      <c r="AR51">
        <v>236.72499999999999</v>
      </c>
      <c r="AS51">
        <v>428.96100000000001</v>
      </c>
      <c r="AT51">
        <v>449.14299999999997</v>
      </c>
      <c r="AU51">
        <v>582.096</v>
      </c>
      <c r="AV51">
        <v>560.83600000000001</v>
      </c>
      <c r="AW51">
        <v>836.13799999999901</v>
      </c>
      <c r="AX51">
        <v>714.27599999999995</v>
      </c>
      <c r="AY51">
        <v>330.459</v>
      </c>
      <c r="AZ51">
        <v>372.59500000000003</v>
      </c>
      <c r="BA51">
        <v>166.74299999999999</v>
      </c>
      <c r="BB51">
        <v>767.23699999999997</v>
      </c>
      <c r="BC51">
        <v>621.45899999999995</v>
      </c>
      <c r="BD51">
        <v>302.62900000000002</v>
      </c>
      <c r="BE51">
        <v>744.654</v>
      </c>
      <c r="BF51">
        <v>676.01574000000005</v>
      </c>
      <c r="BG51">
        <v>690.76967999999897</v>
      </c>
      <c r="BH51">
        <v>533.64942751590502</v>
      </c>
      <c r="BI51">
        <v>538.95860101515802</v>
      </c>
      <c r="BJ51">
        <v>658.51789499999995</v>
      </c>
      <c r="BK51">
        <v>664.81685199999902</v>
      </c>
      <c r="BL51" cm="1">
        <f t="array" ref="BL51">INDEX(R51:W51,0,MATCH($A51,$R$1:$W$1,0))</f>
        <v>0.59112833333333303</v>
      </c>
      <c r="BM51" cm="1">
        <f t="array" ref="BM51">INDEX(AL51:AQ51,0,MATCH($A51,$R$1:$W$1,0))</f>
        <v>20.52552</v>
      </c>
      <c r="BN51" cm="1">
        <f t="array" ref="BN51">INDEX(BF51:BK51,0,MATCH($A51,$R$1:$W$1,0))</f>
        <v>658.51789499999995</v>
      </c>
    </row>
    <row r="52" spans="1:66" x14ac:dyDescent="0.35">
      <c r="A52" t="s">
        <v>67</v>
      </c>
      <c r="B52">
        <v>126492</v>
      </c>
      <c r="C52">
        <v>2004</v>
      </c>
      <c r="D52">
        <v>0.24233333333333301</v>
      </c>
      <c r="E52">
        <v>0.359333333333333</v>
      </c>
      <c r="F52">
        <v>0.42499999999999999</v>
      </c>
      <c r="G52">
        <v>0.50433333333333297</v>
      </c>
      <c r="H52">
        <v>0.49233333333333301</v>
      </c>
      <c r="I52">
        <v>0.59</v>
      </c>
      <c r="J52">
        <v>0.56599999999999995</v>
      </c>
      <c r="K52">
        <v>0.42666666666666597</v>
      </c>
      <c r="L52">
        <v>0.48066666666666602</v>
      </c>
      <c r="M52">
        <v>0.45333333333333298</v>
      </c>
      <c r="N52">
        <v>0.57333333333333303</v>
      </c>
      <c r="O52">
        <v>0.50733333333333297</v>
      </c>
      <c r="P52">
        <v>0.33633333333333298</v>
      </c>
      <c r="Q52">
        <v>0.538333333333333</v>
      </c>
      <c r="R52">
        <v>0.56926933333333296</v>
      </c>
      <c r="S52">
        <v>0.549026666666666</v>
      </c>
      <c r="T52">
        <v>0.46881074048466598</v>
      </c>
      <c r="U52">
        <v>0.48033571521066598</v>
      </c>
      <c r="V52">
        <v>0.59112833333333303</v>
      </c>
      <c r="W52">
        <v>0.56963533333333305</v>
      </c>
      <c r="X52">
        <v>11.586</v>
      </c>
      <c r="Y52">
        <v>15.602</v>
      </c>
      <c r="Z52">
        <v>16.015000000000001</v>
      </c>
      <c r="AA52">
        <v>18.55</v>
      </c>
      <c r="AB52">
        <v>16.919</v>
      </c>
      <c r="AC52">
        <v>17.562000000000001</v>
      </c>
      <c r="AD52">
        <v>18.413</v>
      </c>
      <c r="AE52">
        <v>16.375</v>
      </c>
      <c r="AF52">
        <v>18.436</v>
      </c>
      <c r="AG52">
        <v>17.962</v>
      </c>
      <c r="AH52">
        <v>18.600999999999999</v>
      </c>
      <c r="AI52">
        <v>19.475000000000001</v>
      </c>
      <c r="AJ52">
        <v>14.048</v>
      </c>
      <c r="AK52">
        <v>17.736999999999998</v>
      </c>
      <c r="AL52">
        <v>19.897075999999998</v>
      </c>
      <c r="AM52">
        <v>18.621230000000001</v>
      </c>
      <c r="AN52">
        <v>17.113126657412899</v>
      </c>
      <c r="AO52">
        <v>17.333828604996</v>
      </c>
      <c r="AP52">
        <v>20.52552</v>
      </c>
      <c r="AQ52">
        <v>20.406548000000001</v>
      </c>
      <c r="AR52">
        <v>236.72499999999999</v>
      </c>
      <c r="AS52">
        <v>428.96100000000001</v>
      </c>
      <c r="AT52">
        <v>449.14299999999997</v>
      </c>
      <c r="AU52">
        <v>582.096</v>
      </c>
      <c r="AV52">
        <v>560.83600000000001</v>
      </c>
      <c r="AW52">
        <v>836.13799999999901</v>
      </c>
      <c r="AX52">
        <v>714.27599999999995</v>
      </c>
      <c r="AY52">
        <v>330.459</v>
      </c>
      <c r="AZ52">
        <v>372.59500000000003</v>
      </c>
      <c r="BA52">
        <v>166.74299999999999</v>
      </c>
      <c r="BB52">
        <v>767.23699999999997</v>
      </c>
      <c r="BC52">
        <v>621.45899999999995</v>
      </c>
      <c r="BD52">
        <v>302.62900000000002</v>
      </c>
      <c r="BE52">
        <v>744.654</v>
      </c>
      <c r="BF52">
        <v>676.01574000000005</v>
      </c>
      <c r="BG52">
        <v>690.76967999999897</v>
      </c>
      <c r="BH52">
        <v>533.64942751590502</v>
      </c>
      <c r="BI52">
        <v>538.95860101515802</v>
      </c>
      <c r="BJ52">
        <v>658.51789499999995</v>
      </c>
      <c r="BK52">
        <v>664.81685199999902</v>
      </c>
      <c r="BL52" cm="1">
        <f t="array" ref="BL52">INDEX(R52:W52,0,MATCH($A52,$R$1:$W$1,0))</f>
        <v>0.56963533333333305</v>
      </c>
      <c r="BM52" cm="1">
        <f t="array" ref="BM52">INDEX(AL52:AQ52,0,MATCH($A52,$R$1:$W$1,0))</f>
        <v>20.406548000000001</v>
      </c>
      <c r="BN52" cm="1">
        <f t="array" ref="BN52">INDEX(BF52:BK52,0,MATCH($A52,$R$1:$W$1,0))</f>
        <v>664.81685199999902</v>
      </c>
    </row>
    <row r="53" spans="1:66" x14ac:dyDescent="0.35">
      <c r="A53" t="s">
        <v>63</v>
      </c>
      <c r="B53">
        <v>703373</v>
      </c>
      <c r="C53">
        <v>2005</v>
      </c>
      <c r="D53">
        <v>0.52900000000000003</v>
      </c>
      <c r="E53">
        <v>0.59933333333333305</v>
      </c>
      <c r="F53">
        <v>0.64600000000000002</v>
      </c>
      <c r="G53">
        <v>0.67866666666666597</v>
      </c>
      <c r="H53">
        <v>0.69133333333333302</v>
      </c>
      <c r="I53">
        <v>0.58599999999999997</v>
      </c>
      <c r="J53">
        <v>0.62</v>
      </c>
      <c r="K53">
        <v>0.45533333333333298</v>
      </c>
      <c r="L53">
        <v>0.474333333333333</v>
      </c>
      <c r="M53">
        <v>0.49166666666666597</v>
      </c>
      <c r="N53">
        <v>0.64300000000000002</v>
      </c>
      <c r="O53">
        <v>0.65366666666666595</v>
      </c>
      <c r="P53">
        <v>0.50566666666666604</v>
      </c>
      <c r="Q53">
        <v>0.60599999999999998</v>
      </c>
      <c r="R53">
        <v>0.70165200000000005</v>
      </c>
      <c r="S53">
        <v>0.630253333333333</v>
      </c>
      <c r="T53">
        <v>0.63140555525699904</v>
      </c>
      <c r="U53">
        <v>0.62171333445599997</v>
      </c>
      <c r="V53">
        <v>0.67876000000000003</v>
      </c>
      <c r="W53">
        <v>0.71637333333333297</v>
      </c>
      <c r="X53">
        <v>15.214</v>
      </c>
      <c r="Y53">
        <v>19.248999999999999</v>
      </c>
      <c r="Z53">
        <v>18.736999999999998</v>
      </c>
      <c r="AA53">
        <v>20.942</v>
      </c>
      <c r="AB53">
        <v>19.420999999999999</v>
      </c>
      <c r="AC53">
        <v>19.844000000000001</v>
      </c>
      <c r="AD53">
        <v>20.123000000000001</v>
      </c>
      <c r="AE53">
        <v>19.466999999999999</v>
      </c>
      <c r="AF53">
        <v>18.350999999999999</v>
      </c>
      <c r="AG53">
        <v>18.324999999999999</v>
      </c>
      <c r="AH53">
        <v>20.428999999999998</v>
      </c>
      <c r="AI53">
        <v>20.524000000000001</v>
      </c>
      <c r="AJ53">
        <v>16.302</v>
      </c>
      <c r="AK53">
        <v>18.131</v>
      </c>
      <c r="AL53">
        <v>22.075189999999999</v>
      </c>
      <c r="AM53">
        <v>20.243500000000001</v>
      </c>
      <c r="AN53">
        <v>19.497069990015</v>
      </c>
      <c r="AO53">
        <v>19.547965751298001</v>
      </c>
      <c r="AP53">
        <v>22.174195000000001</v>
      </c>
      <c r="AQ53">
        <v>22.63485</v>
      </c>
      <c r="AR53">
        <v>674.39599999999996</v>
      </c>
      <c r="AS53">
        <v>683.32299999999998</v>
      </c>
      <c r="AT53">
        <v>770.58699999999999</v>
      </c>
      <c r="AU53">
        <v>812.072</v>
      </c>
      <c r="AV53">
        <v>887.67899999999997</v>
      </c>
      <c r="AW53">
        <v>970.44200000000001</v>
      </c>
      <c r="AX53">
        <v>1005.788</v>
      </c>
      <c r="AY53">
        <v>485.82400000000001</v>
      </c>
      <c r="AZ53">
        <v>571.76800000000003</v>
      </c>
      <c r="BA53">
        <v>289.80200000000002</v>
      </c>
      <c r="BB53">
        <v>1258.671</v>
      </c>
      <c r="BC53">
        <v>752.37300000000005</v>
      </c>
      <c r="BD53">
        <v>631.64800000000002</v>
      </c>
      <c r="BE53">
        <v>1225.1949999999999</v>
      </c>
      <c r="BF53">
        <v>1025.6288999999999</v>
      </c>
      <c r="BG53">
        <v>931.97542999999996</v>
      </c>
      <c r="BH53">
        <v>820.61183514093295</v>
      </c>
      <c r="BI53">
        <v>807.87187590674205</v>
      </c>
      <c r="BJ53">
        <v>1027.0209500000001</v>
      </c>
      <c r="BK53">
        <v>978.08970999999997</v>
      </c>
      <c r="BL53" cm="1">
        <f t="array" ref="BL53">INDEX(R53:W53,0,MATCH($A53,$R$1:$W$1,0))</f>
        <v>0.62171333445599997</v>
      </c>
      <c r="BM53" cm="1">
        <f t="array" ref="BM53">INDEX(AL53:AQ53,0,MATCH($A53,$R$1:$W$1,0))</f>
        <v>19.547965751298001</v>
      </c>
      <c r="BN53" cm="1">
        <f t="array" ref="BN53">INDEX(BF53:BK53,0,MATCH($A53,$R$1:$W$1,0))</f>
        <v>807.87187590674205</v>
      </c>
    </row>
    <row r="54" spans="1:66" x14ac:dyDescent="0.35">
      <c r="A54" t="s">
        <v>64</v>
      </c>
      <c r="B54">
        <v>399958</v>
      </c>
      <c r="C54">
        <v>2005</v>
      </c>
      <c r="D54">
        <v>0.52900000000000003</v>
      </c>
      <c r="E54">
        <v>0.59933333333333305</v>
      </c>
      <c r="F54">
        <v>0.64600000000000002</v>
      </c>
      <c r="G54">
        <v>0.67866666666666597</v>
      </c>
      <c r="H54">
        <v>0.69133333333333302</v>
      </c>
      <c r="I54">
        <v>0.58599999999999997</v>
      </c>
      <c r="J54">
        <v>0.62</v>
      </c>
      <c r="K54">
        <v>0.45533333333333298</v>
      </c>
      <c r="L54">
        <v>0.474333333333333</v>
      </c>
      <c r="M54">
        <v>0.49166666666666597</v>
      </c>
      <c r="N54">
        <v>0.64300000000000002</v>
      </c>
      <c r="O54">
        <v>0.65366666666666595</v>
      </c>
      <c r="P54">
        <v>0.50566666666666604</v>
      </c>
      <c r="Q54">
        <v>0.60599999999999998</v>
      </c>
      <c r="R54">
        <v>0.70165200000000005</v>
      </c>
      <c r="S54">
        <v>0.630253333333333</v>
      </c>
      <c r="T54">
        <v>0.63140555525699904</v>
      </c>
      <c r="U54">
        <v>0.62171333445599997</v>
      </c>
      <c r="V54">
        <v>0.67876000000000003</v>
      </c>
      <c r="W54">
        <v>0.71637333333333297</v>
      </c>
      <c r="X54">
        <v>15.214</v>
      </c>
      <c r="Y54">
        <v>19.248999999999999</v>
      </c>
      <c r="Z54">
        <v>18.736999999999998</v>
      </c>
      <c r="AA54">
        <v>20.942</v>
      </c>
      <c r="AB54">
        <v>19.420999999999999</v>
      </c>
      <c r="AC54">
        <v>19.844000000000001</v>
      </c>
      <c r="AD54">
        <v>20.123000000000001</v>
      </c>
      <c r="AE54">
        <v>19.466999999999999</v>
      </c>
      <c r="AF54">
        <v>18.350999999999999</v>
      </c>
      <c r="AG54">
        <v>18.324999999999999</v>
      </c>
      <c r="AH54">
        <v>20.428999999999998</v>
      </c>
      <c r="AI54">
        <v>20.524000000000001</v>
      </c>
      <c r="AJ54">
        <v>16.302</v>
      </c>
      <c r="AK54">
        <v>18.131</v>
      </c>
      <c r="AL54">
        <v>22.075189999999999</v>
      </c>
      <c r="AM54">
        <v>20.243500000000001</v>
      </c>
      <c r="AN54">
        <v>19.497069990015</v>
      </c>
      <c r="AO54">
        <v>19.547965751298001</v>
      </c>
      <c r="AP54">
        <v>22.174195000000001</v>
      </c>
      <c r="AQ54">
        <v>22.63485</v>
      </c>
      <c r="AR54">
        <v>674.39599999999996</v>
      </c>
      <c r="AS54">
        <v>683.32299999999998</v>
      </c>
      <c r="AT54">
        <v>770.58699999999999</v>
      </c>
      <c r="AU54">
        <v>812.072</v>
      </c>
      <c r="AV54">
        <v>887.67899999999997</v>
      </c>
      <c r="AW54">
        <v>970.44200000000001</v>
      </c>
      <c r="AX54">
        <v>1005.788</v>
      </c>
      <c r="AY54">
        <v>485.82400000000001</v>
      </c>
      <c r="AZ54">
        <v>571.76800000000003</v>
      </c>
      <c r="BA54">
        <v>289.80200000000002</v>
      </c>
      <c r="BB54">
        <v>1258.671</v>
      </c>
      <c r="BC54">
        <v>752.37300000000005</v>
      </c>
      <c r="BD54">
        <v>631.64800000000002</v>
      </c>
      <c r="BE54">
        <v>1225.1949999999999</v>
      </c>
      <c r="BF54">
        <v>1025.6288999999999</v>
      </c>
      <c r="BG54">
        <v>931.97542999999996</v>
      </c>
      <c r="BH54">
        <v>820.61183514093295</v>
      </c>
      <c r="BI54">
        <v>807.87187590674205</v>
      </c>
      <c r="BJ54">
        <v>1027.0209500000001</v>
      </c>
      <c r="BK54">
        <v>978.08970999999997</v>
      </c>
      <c r="BL54" cm="1">
        <f t="array" ref="BL54">INDEX(R54:W54,0,MATCH($A54,$R$1:$W$1,0))</f>
        <v>0.70165200000000005</v>
      </c>
      <c r="BM54" cm="1">
        <f t="array" ref="BM54">INDEX(AL54:AQ54,0,MATCH($A54,$R$1:$W$1,0))</f>
        <v>22.075189999999999</v>
      </c>
      <c r="BN54" cm="1">
        <f t="array" ref="BN54">INDEX(BF54:BK54,0,MATCH($A54,$R$1:$W$1,0))</f>
        <v>1025.6288999999999</v>
      </c>
    </row>
    <row r="55" spans="1:66" x14ac:dyDescent="0.35">
      <c r="A55" t="s">
        <v>65</v>
      </c>
      <c r="B55">
        <v>608551</v>
      </c>
      <c r="C55">
        <v>2005</v>
      </c>
      <c r="D55">
        <v>0.52900000000000003</v>
      </c>
      <c r="E55">
        <v>0.59933333333333305</v>
      </c>
      <c r="F55">
        <v>0.64600000000000002</v>
      </c>
      <c r="G55">
        <v>0.67866666666666597</v>
      </c>
      <c r="H55">
        <v>0.69133333333333302</v>
      </c>
      <c r="I55">
        <v>0.58599999999999997</v>
      </c>
      <c r="J55">
        <v>0.62</v>
      </c>
      <c r="K55">
        <v>0.45533333333333298</v>
      </c>
      <c r="L55">
        <v>0.474333333333333</v>
      </c>
      <c r="M55">
        <v>0.49166666666666597</v>
      </c>
      <c r="N55">
        <v>0.64300000000000002</v>
      </c>
      <c r="O55">
        <v>0.65366666666666595</v>
      </c>
      <c r="P55">
        <v>0.50566666666666604</v>
      </c>
      <c r="Q55">
        <v>0.60599999999999998</v>
      </c>
      <c r="R55">
        <v>0.70165200000000005</v>
      </c>
      <c r="S55">
        <v>0.630253333333333</v>
      </c>
      <c r="T55">
        <v>0.63140555525699904</v>
      </c>
      <c r="U55">
        <v>0.62171333445599997</v>
      </c>
      <c r="V55">
        <v>0.67876000000000003</v>
      </c>
      <c r="W55">
        <v>0.71637333333333297</v>
      </c>
      <c r="X55">
        <v>15.214</v>
      </c>
      <c r="Y55">
        <v>19.248999999999999</v>
      </c>
      <c r="Z55">
        <v>18.736999999999998</v>
      </c>
      <c r="AA55">
        <v>20.942</v>
      </c>
      <c r="AB55">
        <v>19.420999999999999</v>
      </c>
      <c r="AC55">
        <v>19.844000000000001</v>
      </c>
      <c r="AD55">
        <v>20.123000000000001</v>
      </c>
      <c r="AE55">
        <v>19.466999999999999</v>
      </c>
      <c r="AF55">
        <v>18.350999999999999</v>
      </c>
      <c r="AG55">
        <v>18.324999999999999</v>
      </c>
      <c r="AH55">
        <v>20.428999999999998</v>
      </c>
      <c r="AI55">
        <v>20.524000000000001</v>
      </c>
      <c r="AJ55">
        <v>16.302</v>
      </c>
      <c r="AK55">
        <v>18.131</v>
      </c>
      <c r="AL55">
        <v>22.075189999999999</v>
      </c>
      <c r="AM55">
        <v>20.243500000000001</v>
      </c>
      <c r="AN55">
        <v>19.497069990015</v>
      </c>
      <c r="AO55">
        <v>19.547965751298001</v>
      </c>
      <c r="AP55">
        <v>22.174195000000001</v>
      </c>
      <c r="AQ55">
        <v>22.63485</v>
      </c>
      <c r="AR55">
        <v>674.39599999999996</v>
      </c>
      <c r="AS55">
        <v>683.32299999999998</v>
      </c>
      <c r="AT55">
        <v>770.58699999999999</v>
      </c>
      <c r="AU55">
        <v>812.072</v>
      </c>
      <c r="AV55">
        <v>887.67899999999997</v>
      </c>
      <c r="AW55">
        <v>970.44200000000001</v>
      </c>
      <c r="AX55">
        <v>1005.788</v>
      </c>
      <c r="AY55">
        <v>485.82400000000001</v>
      </c>
      <c r="AZ55">
        <v>571.76800000000003</v>
      </c>
      <c r="BA55">
        <v>289.80200000000002</v>
      </c>
      <c r="BB55">
        <v>1258.671</v>
      </c>
      <c r="BC55">
        <v>752.37300000000005</v>
      </c>
      <c r="BD55">
        <v>631.64800000000002</v>
      </c>
      <c r="BE55">
        <v>1225.1949999999999</v>
      </c>
      <c r="BF55">
        <v>1025.6288999999999</v>
      </c>
      <c r="BG55">
        <v>931.97542999999996</v>
      </c>
      <c r="BH55">
        <v>820.61183514093295</v>
      </c>
      <c r="BI55">
        <v>807.87187590674205</v>
      </c>
      <c r="BJ55">
        <v>1027.0209500000001</v>
      </c>
      <c r="BK55">
        <v>978.08970999999997</v>
      </c>
      <c r="BL55" cm="1">
        <f t="array" ref="BL55">INDEX(R55:W55,0,MATCH($A55,$R$1:$W$1,0))</f>
        <v>0.63140555525699904</v>
      </c>
      <c r="BM55" cm="1">
        <f t="array" ref="BM55">INDEX(AL55:AQ55,0,MATCH($A55,$R$1:$W$1,0))</f>
        <v>19.497069990015</v>
      </c>
      <c r="BN55" cm="1">
        <f t="array" ref="BN55">INDEX(BF55:BK55,0,MATCH($A55,$R$1:$W$1,0))</f>
        <v>820.61183514093295</v>
      </c>
    </row>
    <row r="56" spans="1:66" x14ac:dyDescent="0.35">
      <c r="A56" t="s">
        <v>66</v>
      </c>
      <c r="B56">
        <v>279080</v>
      </c>
      <c r="C56">
        <v>2005</v>
      </c>
      <c r="D56">
        <v>0.52900000000000003</v>
      </c>
      <c r="E56">
        <v>0.59933333333333305</v>
      </c>
      <c r="F56">
        <v>0.64600000000000002</v>
      </c>
      <c r="G56">
        <v>0.67866666666666597</v>
      </c>
      <c r="H56">
        <v>0.69133333333333302</v>
      </c>
      <c r="I56">
        <v>0.58599999999999997</v>
      </c>
      <c r="J56">
        <v>0.62</v>
      </c>
      <c r="K56">
        <v>0.45533333333333298</v>
      </c>
      <c r="L56">
        <v>0.474333333333333</v>
      </c>
      <c r="M56">
        <v>0.49166666666666597</v>
      </c>
      <c r="N56">
        <v>0.64300000000000002</v>
      </c>
      <c r="O56">
        <v>0.65366666666666595</v>
      </c>
      <c r="P56">
        <v>0.50566666666666604</v>
      </c>
      <c r="Q56">
        <v>0.60599999999999998</v>
      </c>
      <c r="R56">
        <v>0.70165200000000005</v>
      </c>
      <c r="S56">
        <v>0.630253333333333</v>
      </c>
      <c r="T56">
        <v>0.63140555525699904</v>
      </c>
      <c r="U56">
        <v>0.62171333445599997</v>
      </c>
      <c r="V56">
        <v>0.67876000000000003</v>
      </c>
      <c r="W56">
        <v>0.71637333333333297</v>
      </c>
      <c r="X56">
        <v>15.214</v>
      </c>
      <c r="Y56">
        <v>19.248999999999999</v>
      </c>
      <c r="Z56">
        <v>18.736999999999998</v>
      </c>
      <c r="AA56">
        <v>20.942</v>
      </c>
      <c r="AB56">
        <v>19.420999999999999</v>
      </c>
      <c r="AC56">
        <v>19.844000000000001</v>
      </c>
      <c r="AD56">
        <v>20.123000000000001</v>
      </c>
      <c r="AE56">
        <v>19.466999999999999</v>
      </c>
      <c r="AF56">
        <v>18.350999999999999</v>
      </c>
      <c r="AG56">
        <v>18.324999999999999</v>
      </c>
      <c r="AH56">
        <v>20.428999999999998</v>
      </c>
      <c r="AI56">
        <v>20.524000000000001</v>
      </c>
      <c r="AJ56">
        <v>16.302</v>
      </c>
      <c r="AK56">
        <v>18.131</v>
      </c>
      <c r="AL56">
        <v>22.075189999999999</v>
      </c>
      <c r="AM56">
        <v>20.243500000000001</v>
      </c>
      <c r="AN56">
        <v>19.497069990015</v>
      </c>
      <c r="AO56">
        <v>19.547965751298001</v>
      </c>
      <c r="AP56">
        <v>22.174195000000001</v>
      </c>
      <c r="AQ56">
        <v>22.63485</v>
      </c>
      <c r="AR56">
        <v>674.39599999999996</v>
      </c>
      <c r="AS56">
        <v>683.32299999999998</v>
      </c>
      <c r="AT56">
        <v>770.58699999999999</v>
      </c>
      <c r="AU56">
        <v>812.072</v>
      </c>
      <c r="AV56">
        <v>887.67899999999997</v>
      </c>
      <c r="AW56">
        <v>970.44200000000001</v>
      </c>
      <c r="AX56">
        <v>1005.788</v>
      </c>
      <c r="AY56">
        <v>485.82400000000001</v>
      </c>
      <c r="AZ56">
        <v>571.76800000000003</v>
      </c>
      <c r="BA56">
        <v>289.80200000000002</v>
      </c>
      <c r="BB56">
        <v>1258.671</v>
      </c>
      <c r="BC56">
        <v>752.37300000000005</v>
      </c>
      <c r="BD56">
        <v>631.64800000000002</v>
      </c>
      <c r="BE56">
        <v>1225.1949999999999</v>
      </c>
      <c r="BF56">
        <v>1025.6288999999999</v>
      </c>
      <c r="BG56">
        <v>931.97542999999996</v>
      </c>
      <c r="BH56">
        <v>820.61183514093295</v>
      </c>
      <c r="BI56">
        <v>807.87187590674205</v>
      </c>
      <c r="BJ56">
        <v>1027.0209500000001</v>
      </c>
      <c r="BK56">
        <v>978.08970999999997</v>
      </c>
      <c r="BL56" cm="1">
        <f t="array" ref="BL56">INDEX(R56:W56,0,MATCH($A56,$R$1:$W$1,0))</f>
        <v>0.67876000000000003</v>
      </c>
      <c r="BM56" cm="1">
        <f t="array" ref="BM56">INDEX(AL56:AQ56,0,MATCH($A56,$R$1:$W$1,0))</f>
        <v>22.174195000000001</v>
      </c>
      <c r="BN56" cm="1">
        <f t="array" ref="BN56">INDEX(BF56:BK56,0,MATCH($A56,$R$1:$W$1,0))</f>
        <v>1027.0209500000001</v>
      </c>
    </row>
    <row r="57" spans="1:66" x14ac:dyDescent="0.35">
      <c r="A57" t="s">
        <v>67</v>
      </c>
      <c r="B57">
        <v>143989</v>
      </c>
      <c r="C57">
        <v>2005</v>
      </c>
      <c r="D57">
        <v>0.52900000000000003</v>
      </c>
      <c r="E57">
        <v>0.59933333333333305</v>
      </c>
      <c r="F57">
        <v>0.64600000000000002</v>
      </c>
      <c r="G57">
        <v>0.67866666666666597</v>
      </c>
      <c r="H57">
        <v>0.69133333333333302</v>
      </c>
      <c r="I57">
        <v>0.58599999999999997</v>
      </c>
      <c r="J57">
        <v>0.62</v>
      </c>
      <c r="K57">
        <v>0.45533333333333298</v>
      </c>
      <c r="L57">
        <v>0.474333333333333</v>
      </c>
      <c r="M57">
        <v>0.49166666666666597</v>
      </c>
      <c r="N57">
        <v>0.64300000000000002</v>
      </c>
      <c r="O57">
        <v>0.65366666666666595</v>
      </c>
      <c r="P57">
        <v>0.50566666666666604</v>
      </c>
      <c r="Q57">
        <v>0.60599999999999998</v>
      </c>
      <c r="R57">
        <v>0.70165200000000005</v>
      </c>
      <c r="S57">
        <v>0.630253333333333</v>
      </c>
      <c r="T57">
        <v>0.63140555525699904</v>
      </c>
      <c r="U57">
        <v>0.62171333445599997</v>
      </c>
      <c r="V57">
        <v>0.67876000000000003</v>
      </c>
      <c r="W57">
        <v>0.71637333333333297</v>
      </c>
      <c r="X57">
        <v>15.214</v>
      </c>
      <c r="Y57">
        <v>19.248999999999999</v>
      </c>
      <c r="Z57">
        <v>18.736999999999998</v>
      </c>
      <c r="AA57">
        <v>20.942</v>
      </c>
      <c r="AB57">
        <v>19.420999999999999</v>
      </c>
      <c r="AC57">
        <v>19.844000000000001</v>
      </c>
      <c r="AD57">
        <v>20.123000000000001</v>
      </c>
      <c r="AE57">
        <v>19.466999999999999</v>
      </c>
      <c r="AF57">
        <v>18.350999999999999</v>
      </c>
      <c r="AG57">
        <v>18.324999999999999</v>
      </c>
      <c r="AH57">
        <v>20.428999999999998</v>
      </c>
      <c r="AI57">
        <v>20.524000000000001</v>
      </c>
      <c r="AJ57">
        <v>16.302</v>
      </c>
      <c r="AK57">
        <v>18.131</v>
      </c>
      <c r="AL57">
        <v>22.075189999999999</v>
      </c>
      <c r="AM57">
        <v>20.243500000000001</v>
      </c>
      <c r="AN57">
        <v>19.497069990015</v>
      </c>
      <c r="AO57">
        <v>19.547965751298001</v>
      </c>
      <c r="AP57">
        <v>22.174195000000001</v>
      </c>
      <c r="AQ57">
        <v>22.63485</v>
      </c>
      <c r="AR57">
        <v>674.39599999999996</v>
      </c>
      <c r="AS57">
        <v>683.32299999999998</v>
      </c>
      <c r="AT57">
        <v>770.58699999999999</v>
      </c>
      <c r="AU57">
        <v>812.072</v>
      </c>
      <c r="AV57">
        <v>887.67899999999997</v>
      </c>
      <c r="AW57">
        <v>970.44200000000001</v>
      </c>
      <c r="AX57">
        <v>1005.788</v>
      </c>
      <c r="AY57">
        <v>485.82400000000001</v>
      </c>
      <c r="AZ57">
        <v>571.76800000000003</v>
      </c>
      <c r="BA57">
        <v>289.80200000000002</v>
      </c>
      <c r="BB57">
        <v>1258.671</v>
      </c>
      <c r="BC57">
        <v>752.37300000000005</v>
      </c>
      <c r="BD57">
        <v>631.64800000000002</v>
      </c>
      <c r="BE57">
        <v>1225.1949999999999</v>
      </c>
      <c r="BF57">
        <v>1025.6288999999999</v>
      </c>
      <c r="BG57">
        <v>931.97542999999996</v>
      </c>
      <c r="BH57">
        <v>820.61183514093295</v>
      </c>
      <c r="BI57">
        <v>807.87187590674205</v>
      </c>
      <c r="BJ57">
        <v>1027.0209500000001</v>
      </c>
      <c r="BK57">
        <v>978.08970999999997</v>
      </c>
      <c r="BL57" cm="1">
        <f t="array" ref="BL57">INDEX(R57:W57,0,MATCH($A57,$R$1:$W$1,0))</f>
        <v>0.71637333333333297</v>
      </c>
      <c r="BM57" cm="1">
        <f t="array" ref="BM57">INDEX(AL57:AQ57,0,MATCH($A57,$R$1:$W$1,0))</f>
        <v>22.63485</v>
      </c>
      <c r="BN57" cm="1">
        <f t="array" ref="BN57">INDEX(BF57:BK57,0,MATCH($A57,$R$1:$W$1,0))</f>
        <v>978.08970999999997</v>
      </c>
    </row>
    <row r="58" spans="1:66" x14ac:dyDescent="0.35">
      <c r="A58" t="s">
        <v>63</v>
      </c>
      <c r="B58">
        <v>460481</v>
      </c>
      <c r="C58">
        <v>2006</v>
      </c>
      <c r="D58">
        <v>0.49399999999999999</v>
      </c>
      <c r="E58">
        <v>0.40666666666666601</v>
      </c>
      <c r="F58">
        <v>0.49766666666666598</v>
      </c>
      <c r="G58">
        <v>0.51533333333333298</v>
      </c>
      <c r="H58">
        <v>0.55066666666666597</v>
      </c>
      <c r="I58">
        <v>0.50966666666666605</v>
      </c>
      <c r="J58">
        <v>0.56533333333333302</v>
      </c>
      <c r="K58">
        <v>0.37766666666666598</v>
      </c>
      <c r="L58">
        <v>0.44333333333333302</v>
      </c>
      <c r="M58">
        <v>0.40300000000000002</v>
      </c>
      <c r="N58">
        <v>0.62666666666666604</v>
      </c>
      <c r="O58">
        <v>0.476333333333333</v>
      </c>
      <c r="P58">
        <v>0.47466666666666602</v>
      </c>
      <c r="Q58">
        <v>0.57466666666666599</v>
      </c>
      <c r="R58">
        <v>0.60144466666666596</v>
      </c>
      <c r="S58">
        <v>0.53771000000000002</v>
      </c>
      <c r="T58">
        <v>0.50817074047133304</v>
      </c>
      <c r="U58">
        <v>0.50790000098800003</v>
      </c>
      <c r="V58">
        <v>0.60856333333333301</v>
      </c>
      <c r="W58">
        <v>0.59233133333333299</v>
      </c>
      <c r="X58">
        <v>15.385</v>
      </c>
      <c r="Y58">
        <v>15.930999999999999</v>
      </c>
      <c r="Z58">
        <v>16.574000000000002</v>
      </c>
      <c r="AA58">
        <v>19.202000000000002</v>
      </c>
      <c r="AB58">
        <v>18.402999999999999</v>
      </c>
      <c r="AC58">
        <v>17.602</v>
      </c>
      <c r="AD58">
        <v>18.646999999999998</v>
      </c>
      <c r="AE58">
        <v>16.271999999999998</v>
      </c>
      <c r="AF58">
        <v>16.015999999999998</v>
      </c>
      <c r="AG58">
        <v>16.984999999999999</v>
      </c>
      <c r="AH58">
        <v>19.827999999999999</v>
      </c>
      <c r="AI58">
        <v>18.324000000000002</v>
      </c>
      <c r="AJ58">
        <v>16.03</v>
      </c>
      <c r="AK58">
        <v>19.152999999999999</v>
      </c>
      <c r="AL58">
        <v>20.505592</v>
      </c>
      <c r="AM58">
        <v>18.540669999999999</v>
      </c>
      <c r="AN58">
        <v>17.827471101651</v>
      </c>
      <c r="AO58">
        <v>17.915897177399899</v>
      </c>
      <c r="AP58">
        <v>21.036345000000001</v>
      </c>
      <c r="AQ58">
        <v>20.904748000000001</v>
      </c>
      <c r="AR58">
        <v>427.096</v>
      </c>
      <c r="AS58">
        <v>499.12099999999998</v>
      </c>
      <c r="AT58">
        <v>581.86900000000003</v>
      </c>
      <c r="AU58">
        <v>559.07600000000002</v>
      </c>
      <c r="AV58">
        <v>662.46799999999996</v>
      </c>
      <c r="AW58">
        <v>820.57999999999902</v>
      </c>
      <c r="AX58">
        <v>748.60500000000002</v>
      </c>
      <c r="AY58">
        <v>378.44799999999998</v>
      </c>
      <c r="AZ58">
        <v>352.048</v>
      </c>
      <c r="BA58">
        <v>280.04300000000001</v>
      </c>
      <c r="BB58">
        <v>924.48599999999999</v>
      </c>
      <c r="BC58">
        <v>534.35199999999998</v>
      </c>
      <c r="BD58">
        <v>461.27199999999999</v>
      </c>
      <c r="BE58">
        <v>1089.0050000000001</v>
      </c>
      <c r="BF58">
        <v>763.18884800000001</v>
      </c>
      <c r="BG58">
        <v>690.78124000000003</v>
      </c>
      <c r="BH58">
        <v>599.28844522569102</v>
      </c>
      <c r="BI58">
        <v>594.26535982639405</v>
      </c>
      <c r="BJ58">
        <v>801.00336000000004</v>
      </c>
      <c r="BK58">
        <v>717.566361999999</v>
      </c>
      <c r="BL58" cm="1">
        <f t="array" ref="BL58">INDEX(R58:W58,0,MATCH($A58,$R$1:$W$1,0))</f>
        <v>0.50790000098800003</v>
      </c>
      <c r="BM58" cm="1">
        <f t="array" ref="BM58">INDEX(AL58:AQ58,0,MATCH($A58,$R$1:$W$1,0))</f>
        <v>17.915897177399899</v>
      </c>
      <c r="BN58" cm="1">
        <f t="array" ref="BN58">INDEX(BF58:BK58,0,MATCH($A58,$R$1:$W$1,0))</f>
        <v>594.26535982639405</v>
      </c>
    </row>
    <row r="59" spans="1:66" x14ac:dyDescent="0.35">
      <c r="A59" t="s">
        <v>64</v>
      </c>
      <c r="B59">
        <v>181585</v>
      </c>
      <c r="C59">
        <v>2006</v>
      </c>
      <c r="D59">
        <v>0.49399999999999999</v>
      </c>
      <c r="E59">
        <v>0.40666666666666601</v>
      </c>
      <c r="F59">
        <v>0.49766666666666598</v>
      </c>
      <c r="G59">
        <v>0.51533333333333298</v>
      </c>
      <c r="H59">
        <v>0.55066666666666597</v>
      </c>
      <c r="I59">
        <v>0.50966666666666605</v>
      </c>
      <c r="J59">
        <v>0.56533333333333302</v>
      </c>
      <c r="K59">
        <v>0.37766666666666598</v>
      </c>
      <c r="L59">
        <v>0.44333333333333302</v>
      </c>
      <c r="M59">
        <v>0.40300000000000002</v>
      </c>
      <c r="N59">
        <v>0.62666666666666604</v>
      </c>
      <c r="O59">
        <v>0.476333333333333</v>
      </c>
      <c r="P59">
        <v>0.47466666666666602</v>
      </c>
      <c r="Q59">
        <v>0.57466666666666599</v>
      </c>
      <c r="R59">
        <v>0.60144466666666596</v>
      </c>
      <c r="S59">
        <v>0.53771000000000002</v>
      </c>
      <c r="T59">
        <v>0.50817074047133304</v>
      </c>
      <c r="U59">
        <v>0.50790000098800003</v>
      </c>
      <c r="V59">
        <v>0.60856333333333301</v>
      </c>
      <c r="W59">
        <v>0.59233133333333299</v>
      </c>
      <c r="X59">
        <v>15.385</v>
      </c>
      <c r="Y59">
        <v>15.930999999999999</v>
      </c>
      <c r="Z59">
        <v>16.574000000000002</v>
      </c>
      <c r="AA59">
        <v>19.202000000000002</v>
      </c>
      <c r="AB59">
        <v>18.402999999999999</v>
      </c>
      <c r="AC59">
        <v>17.602</v>
      </c>
      <c r="AD59">
        <v>18.646999999999998</v>
      </c>
      <c r="AE59">
        <v>16.271999999999998</v>
      </c>
      <c r="AF59">
        <v>16.015999999999998</v>
      </c>
      <c r="AG59">
        <v>16.984999999999999</v>
      </c>
      <c r="AH59">
        <v>19.827999999999999</v>
      </c>
      <c r="AI59">
        <v>18.324000000000002</v>
      </c>
      <c r="AJ59">
        <v>16.03</v>
      </c>
      <c r="AK59">
        <v>19.152999999999999</v>
      </c>
      <c r="AL59">
        <v>20.505592</v>
      </c>
      <c r="AM59">
        <v>18.540669999999999</v>
      </c>
      <c r="AN59">
        <v>17.827471101651</v>
      </c>
      <c r="AO59">
        <v>17.915897177399899</v>
      </c>
      <c r="AP59">
        <v>21.036345000000001</v>
      </c>
      <c r="AQ59">
        <v>20.904748000000001</v>
      </c>
      <c r="AR59">
        <v>427.096</v>
      </c>
      <c r="AS59">
        <v>499.12099999999998</v>
      </c>
      <c r="AT59">
        <v>581.86900000000003</v>
      </c>
      <c r="AU59">
        <v>559.07600000000002</v>
      </c>
      <c r="AV59">
        <v>662.46799999999996</v>
      </c>
      <c r="AW59">
        <v>820.57999999999902</v>
      </c>
      <c r="AX59">
        <v>748.60500000000002</v>
      </c>
      <c r="AY59">
        <v>378.44799999999998</v>
      </c>
      <c r="AZ59">
        <v>352.048</v>
      </c>
      <c r="BA59">
        <v>280.04300000000001</v>
      </c>
      <c r="BB59">
        <v>924.48599999999999</v>
      </c>
      <c r="BC59">
        <v>534.35199999999998</v>
      </c>
      <c r="BD59">
        <v>461.27199999999999</v>
      </c>
      <c r="BE59">
        <v>1089.0050000000001</v>
      </c>
      <c r="BF59">
        <v>763.18884800000001</v>
      </c>
      <c r="BG59">
        <v>690.78124000000003</v>
      </c>
      <c r="BH59">
        <v>599.28844522569102</v>
      </c>
      <c r="BI59">
        <v>594.26535982639405</v>
      </c>
      <c r="BJ59">
        <v>801.00336000000004</v>
      </c>
      <c r="BK59">
        <v>717.566361999999</v>
      </c>
      <c r="BL59" cm="1">
        <f t="array" ref="BL59">INDEX(R59:W59,0,MATCH($A59,$R$1:$W$1,0))</f>
        <v>0.60144466666666596</v>
      </c>
      <c r="BM59" cm="1">
        <f t="array" ref="BM59">INDEX(AL59:AQ59,0,MATCH($A59,$R$1:$W$1,0))</f>
        <v>20.505592</v>
      </c>
      <c r="BN59" cm="1">
        <f t="array" ref="BN59">INDEX(BF59:BK59,0,MATCH($A59,$R$1:$W$1,0))</f>
        <v>763.18884800000001</v>
      </c>
    </row>
    <row r="60" spans="1:66" x14ac:dyDescent="0.35">
      <c r="A60" t="s">
        <v>65</v>
      </c>
      <c r="B60">
        <v>494345</v>
      </c>
      <c r="C60">
        <v>2006</v>
      </c>
      <c r="D60">
        <v>0.49399999999999999</v>
      </c>
      <c r="E60">
        <v>0.40666666666666601</v>
      </c>
      <c r="F60">
        <v>0.49766666666666598</v>
      </c>
      <c r="G60">
        <v>0.51533333333333298</v>
      </c>
      <c r="H60">
        <v>0.55066666666666597</v>
      </c>
      <c r="I60">
        <v>0.50966666666666605</v>
      </c>
      <c r="J60">
        <v>0.56533333333333302</v>
      </c>
      <c r="K60">
        <v>0.37766666666666598</v>
      </c>
      <c r="L60">
        <v>0.44333333333333302</v>
      </c>
      <c r="M60">
        <v>0.40300000000000002</v>
      </c>
      <c r="N60">
        <v>0.62666666666666604</v>
      </c>
      <c r="O60">
        <v>0.476333333333333</v>
      </c>
      <c r="P60">
        <v>0.47466666666666602</v>
      </c>
      <c r="Q60">
        <v>0.57466666666666599</v>
      </c>
      <c r="R60">
        <v>0.60144466666666596</v>
      </c>
      <c r="S60">
        <v>0.53771000000000002</v>
      </c>
      <c r="T60">
        <v>0.50817074047133304</v>
      </c>
      <c r="U60">
        <v>0.50790000098800003</v>
      </c>
      <c r="V60">
        <v>0.60856333333333301</v>
      </c>
      <c r="W60">
        <v>0.59233133333333299</v>
      </c>
      <c r="X60">
        <v>15.385</v>
      </c>
      <c r="Y60">
        <v>15.930999999999999</v>
      </c>
      <c r="Z60">
        <v>16.574000000000002</v>
      </c>
      <c r="AA60">
        <v>19.202000000000002</v>
      </c>
      <c r="AB60">
        <v>18.402999999999999</v>
      </c>
      <c r="AC60">
        <v>17.602</v>
      </c>
      <c r="AD60">
        <v>18.646999999999998</v>
      </c>
      <c r="AE60">
        <v>16.271999999999998</v>
      </c>
      <c r="AF60">
        <v>16.015999999999998</v>
      </c>
      <c r="AG60">
        <v>16.984999999999999</v>
      </c>
      <c r="AH60">
        <v>19.827999999999999</v>
      </c>
      <c r="AI60">
        <v>18.324000000000002</v>
      </c>
      <c r="AJ60">
        <v>16.03</v>
      </c>
      <c r="AK60">
        <v>19.152999999999999</v>
      </c>
      <c r="AL60">
        <v>20.505592</v>
      </c>
      <c r="AM60">
        <v>18.540669999999999</v>
      </c>
      <c r="AN60">
        <v>17.827471101651</v>
      </c>
      <c r="AO60">
        <v>17.915897177399899</v>
      </c>
      <c r="AP60">
        <v>21.036345000000001</v>
      </c>
      <c r="AQ60">
        <v>20.904748000000001</v>
      </c>
      <c r="AR60">
        <v>427.096</v>
      </c>
      <c r="AS60">
        <v>499.12099999999998</v>
      </c>
      <c r="AT60">
        <v>581.86900000000003</v>
      </c>
      <c r="AU60">
        <v>559.07600000000002</v>
      </c>
      <c r="AV60">
        <v>662.46799999999996</v>
      </c>
      <c r="AW60">
        <v>820.57999999999902</v>
      </c>
      <c r="AX60">
        <v>748.60500000000002</v>
      </c>
      <c r="AY60">
        <v>378.44799999999998</v>
      </c>
      <c r="AZ60">
        <v>352.048</v>
      </c>
      <c r="BA60">
        <v>280.04300000000001</v>
      </c>
      <c r="BB60">
        <v>924.48599999999999</v>
      </c>
      <c r="BC60">
        <v>534.35199999999998</v>
      </c>
      <c r="BD60">
        <v>461.27199999999999</v>
      </c>
      <c r="BE60">
        <v>1089.0050000000001</v>
      </c>
      <c r="BF60">
        <v>763.18884800000001</v>
      </c>
      <c r="BG60">
        <v>690.78124000000003</v>
      </c>
      <c r="BH60">
        <v>599.28844522569102</v>
      </c>
      <c r="BI60">
        <v>594.26535982639405</v>
      </c>
      <c r="BJ60">
        <v>801.00336000000004</v>
      </c>
      <c r="BK60">
        <v>717.566361999999</v>
      </c>
      <c r="BL60" cm="1">
        <f t="array" ref="BL60">INDEX(R60:W60,0,MATCH($A60,$R$1:$W$1,0))</f>
        <v>0.50817074047133304</v>
      </c>
      <c r="BM60" cm="1">
        <f t="array" ref="BM60">INDEX(AL60:AQ60,0,MATCH($A60,$R$1:$W$1,0))</f>
        <v>17.827471101651</v>
      </c>
      <c r="BN60" cm="1">
        <f t="array" ref="BN60">INDEX(BF60:BK60,0,MATCH($A60,$R$1:$W$1,0))</f>
        <v>599.28844522569102</v>
      </c>
    </row>
    <row r="61" spans="1:66" x14ac:dyDescent="0.35">
      <c r="A61" t="s">
        <v>66</v>
      </c>
      <c r="B61">
        <v>190493</v>
      </c>
      <c r="C61">
        <v>2006</v>
      </c>
      <c r="D61">
        <v>0.49399999999999999</v>
      </c>
      <c r="E61">
        <v>0.40666666666666601</v>
      </c>
      <c r="F61">
        <v>0.49766666666666598</v>
      </c>
      <c r="G61">
        <v>0.51533333333333298</v>
      </c>
      <c r="H61">
        <v>0.55066666666666597</v>
      </c>
      <c r="I61">
        <v>0.50966666666666605</v>
      </c>
      <c r="J61">
        <v>0.56533333333333302</v>
      </c>
      <c r="K61">
        <v>0.37766666666666598</v>
      </c>
      <c r="L61">
        <v>0.44333333333333302</v>
      </c>
      <c r="M61">
        <v>0.40300000000000002</v>
      </c>
      <c r="N61">
        <v>0.62666666666666604</v>
      </c>
      <c r="O61">
        <v>0.476333333333333</v>
      </c>
      <c r="P61">
        <v>0.47466666666666602</v>
      </c>
      <c r="Q61">
        <v>0.57466666666666599</v>
      </c>
      <c r="R61">
        <v>0.60144466666666596</v>
      </c>
      <c r="S61">
        <v>0.53771000000000002</v>
      </c>
      <c r="T61">
        <v>0.50817074047133304</v>
      </c>
      <c r="U61">
        <v>0.50790000098800003</v>
      </c>
      <c r="V61">
        <v>0.60856333333333301</v>
      </c>
      <c r="W61">
        <v>0.59233133333333299</v>
      </c>
      <c r="X61">
        <v>15.385</v>
      </c>
      <c r="Y61">
        <v>15.930999999999999</v>
      </c>
      <c r="Z61">
        <v>16.574000000000002</v>
      </c>
      <c r="AA61">
        <v>19.202000000000002</v>
      </c>
      <c r="AB61">
        <v>18.402999999999999</v>
      </c>
      <c r="AC61">
        <v>17.602</v>
      </c>
      <c r="AD61">
        <v>18.646999999999998</v>
      </c>
      <c r="AE61">
        <v>16.271999999999998</v>
      </c>
      <c r="AF61">
        <v>16.015999999999998</v>
      </c>
      <c r="AG61">
        <v>16.984999999999999</v>
      </c>
      <c r="AH61">
        <v>19.827999999999999</v>
      </c>
      <c r="AI61">
        <v>18.324000000000002</v>
      </c>
      <c r="AJ61">
        <v>16.03</v>
      </c>
      <c r="AK61">
        <v>19.152999999999999</v>
      </c>
      <c r="AL61">
        <v>20.505592</v>
      </c>
      <c r="AM61">
        <v>18.540669999999999</v>
      </c>
      <c r="AN61">
        <v>17.827471101651</v>
      </c>
      <c r="AO61">
        <v>17.915897177399899</v>
      </c>
      <c r="AP61">
        <v>21.036345000000001</v>
      </c>
      <c r="AQ61">
        <v>20.904748000000001</v>
      </c>
      <c r="AR61">
        <v>427.096</v>
      </c>
      <c r="AS61">
        <v>499.12099999999998</v>
      </c>
      <c r="AT61">
        <v>581.86900000000003</v>
      </c>
      <c r="AU61">
        <v>559.07600000000002</v>
      </c>
      <c r="AV61">
        <v>662.46799999999996</v>
      </c>
      <c r="AW61">
        <v>820.57999999999902</v>
      </c>
      <c r="AX61">
        <v>748.60500000000002</v>
      </c>
      <c r="AY61">
        <v>378.44799999999998</v>
      </c>
      <c r="AZ61">
        <v>352.048</v>
      </c>
      <c r="BA61">
        <v>280.04300000000001</v>
      </c>
      <c r="BB61">
        <v>924.48599999999999</v>
      </c>
      <c r="BC61">
        <v>534.35199999999998</v>
      </c>
      <c r="BD61">
        <v>461.27199999999999</v>
      </c>
      <c r="BE61">
        <v>1089.0050000000001</v>
      </c>
      <c r="BF61">
        <v>763.18884800000001</v>
      </c>
      <c r="BG61">
        <v>690.78124000000003</v>
      </c>
      <c r="BH61">
        <v>599.28844522569102</v>
      </c>
      <c r="BI61">
        <v>594.26535982639405</v>
      </c>
      <c r="BJ61">
        <v>801.00336000000004</v>
      </c>
      <c r="BK61">
        <v>717.566361999999</v>
      </c>
      <c r="BL61" cm="1">
        <f t="array" ref="BL61">INDEX(R61:W61,0,MATCH($A61,$R$1:$W$1,0))</f>
        <v>0.60856333333333301</v>
      </c>
      <c r="BM61" cm="1">
        <f t="array" ref="BM61">INDEX(AL61:AQ61,0,MATCH($A61,$R$1:$W$1,0))</f>
        <v>21.036345000000001</v>
      </c>
      <c r="BN61" cm="1">
        <f t="array" ref="BN61">INDEX(BF61:BK61,0,MATCH($A61,$R$1:$W$1,0))</f>
        <v>801.00336000000004</v>
      </c>
    </row>
    <row r="62" spans="1:66" x14ac:dyDescent="0.35">
      <c r="A62" t="s">
        <v>67</v>
      </c>
      <c r="B62">
        <v>121003</v>
      </c>
      <c r="C62">
        <v>2006</v>
      </c>
      <c r="D62">
        <v>0.49399999999999999</v>
      </c>
      <c r="E62">
        <v>0.40666666666666601</v>
      </c>
      <c r="F62">
        <v>0.49766666666666598</v>
      </c>
      <c r="G62">
        <v>0.51533333333333298</v>
      </c>
      <c r="H62">
        <v>0.55066666666666597</v>
      </c>
      <c r="I62">
        <v>0.50966666666666605</v>
      </c>
      <c r="J62">
        <v>0.56533333333333302</v>
      </c>
      <c r="K62">
        <v>0.37766666666666598</v>
      </c>
      <c r="L62">
        <v>0.44333333333333302</v>
      </c>
      <c r="M62">
        <v>0.40300000000000002</v>
      </c>
      <c r="N62">
        <v>0.62666666666666604</v>
      </c>
      <c r="O62">
        <v>0.476333333333333</v>
      </c>
      <c r="P62">
        <v>0.47466666666666602</v>
      </c>
      <c r="Q62">
        <v>0.57466666666666599</v>
      </c>
      <c r="R62">
        <v>0.60144466666666596</v>
      </c>
      <c r="S62">
        <v>0.53771000000000002</v>
      </c>
      <c r="T62">
        <v>0.50817074047133304</v>
      </c>
      <c r="U62">
        <v>0.50790000098800003</v>
      </c>
      <c r="V62">
        <v>0.60856333333333301</v>
      </c>
      <c r="W62">
        <v>0.59233133333333299</v>
      </c>
      <c r="X62">
        <v>15.385</v>
      </c>
      <c r="Y62">
        <v>15.930999999999999</v>
      </c>
      <c r="Z62">
        <v>16.574000000000002</v>
      </c>
      <c r="AA62">
        <v>19.202000000000002</v>
      </c>
      <c r="AB62">
        <v>18.402999999999999</v>
      </c>
      <c r="AC62">
        <v>17.602</v>
      </c>
      <c r="AD62">
        <v>18.646999999999998</v>
      </c>
      <c r="AE62">
        <v>16.271999999999998</v>
      </c>
      <c r="AF62">
        <v>16.015999999999998</v>
      </c>
      <c r="AG62">
        <v>16.984999999999999</v>
      </c>
      <c r="AH62">
        <v>19.827999999999999</v>
      </c>
      <c r="AI62">
        <v>18.324000000000002</v>
      </c>
      <c r="AJ62">
        <v>16.03</v>
      </c>
      <c r="AK62">
        <v>19.152999999999999</v>
      </c>
      <c r="AL62">
        <v>20.505592</v>
      </c>
      <c r="AM62">
        <v>18.540669999999999</v>
      </c>
      <c r="AN62">
        <v>17.827471101651</v>
      </c>
      <c r="AO62">
        <v>17.915897177399899</v>
      </c>
      <c r="AP62">
        <v>21.036345000000001</v>
      </c>
      <c r="AQ62">
        <v>20.904748000000001</v>
      </c>
      <c r="AR62">
        <v>427.096</v>
      </c>
      <c r="AS62">
        <v>499.12099999999998</v>
      </c>
      <c r="AT62">
        <v>581.86900000000003</v>
      </c>
      <c r="AU62">
        <v>559.07600000000002</v>
      </c>
      <c r="AV62">
        <v>662.46799999999996</v>
      </c>
      <c r="AW62">
        <v>820.57999999999902</v>
      </c>
      <c r="AX62">
        <v>748.60500000000002</v>
      </c>
      <c r="AY62">
        <v>378.44799999999998</v>
      </c>
      <c r="AZ62">
        <v>352.048</v>
      </c>
      <c r="BA62">
        <v>280.04300000000001</v>
      </c>
      <c r="BB62">
        <v>924.48599999999999</v>
      </c>
      <c r="BC62">
        <v>534.35199999999998</v>
      </c>
      <c r="BD62">
        <v>461.27199999999999</v>
      </c>
      <c r="BE62">
        <v>1089.0050000000001</v>
      </c>
      <c r="BF62">
        <v>763.18884800000001</v>
      </c>
      <c r="BG62">
        <v>690.78124000000003</v>
      </c>
      <c r="BH62">
        <v>599.28844522569102</v>
      </c>
      <c r="BI62">
        <v>594.26535982639405</v>
      </c>
      <c r="BJ62">
        <v>801.00336000000004</v>
      </c>
      <c r="BK62">
        <v>717.566361999999</v>
      </c>
      <c r="BL62" cm="1">
        <f t="array" ref="BL62">INDEX(R62:W62,0,MATCH($A62,$R$1:$W$1,0))</f>
        <v>0.59233133333333299</v>
      </c>
      <c r="BM62" cm="1">
        <f t="array" ref="BM62">INDEX(AL62:AQ62,0,MATCH($A62,$R$1:$W$1,0))</f>
        <v>20.904748000000001</v>
      </c>
      <c r="BN62" cm="1">
        <f t="array" ref="BN62">INDEX(BF62:BK62,0,MATCH($A62,$R$1:$W$1,0))</f>
        <v>717.566361999999</v>
      </c>
    </row>
    <row r="63" spans="1:66" x14ac:dyDescent="0.35">
      <c r="A63" t="s">
        <v>63</v>
      </c>
      <c r="B63">
        <v>331195</v>
      </c>
      <c r="C63">
        <v>2007</v>
      </c>
      <c r="D63">
        <v>0.38066666666666599</v>
      </c>
      <c r="E63">
        <v>0.334666666666666</v>
      </c>
      <c r="F63">
        <v>0.36833333333333301</v>
      </c>
      <c r="G63">
        <v>0.42266666666666602</v>
      </c>
      <c r="H63">
        <v>0.377</v>
      </c>
      <c r="I63">
        <v>0.53366666666666596</v>
      </c>
      <c r="J63">
        <v>0.59299999999999997</v>
      </c>
      <c r="K63">
        <v>0.411333333333333</v>
      </c>
      <c r="L63">
        <v>0.50700000000000001</v>
      </c>
      <c r="M63">
        <v>0.47266666666666601</v>
      </c>
      <c r="N63">
        <v>0.58966666666666601</v>
      </c>
      <c r="O63">
        <v>0.54199999999999904</v>
      </c>
      <c r="P63">
        <v>0.38333333333333303</v>
      </c>
      <c r="Q63">
        <v>0.55333333333333301</v>
      </c>
      <c r="R63">
        <v>0.56174199999999896</v>
      </c>
      <c r="S63">
        <v>0.56597999999999904</v>
      </c>
      <c r="T63">
        <v>0.42834592565399998</v>
      </c>
      <c r="U63">
        <v>0.448893334296666</v>
      </c>
      <c r="V63">
        <v>0.60656333333333301</v>
      </c>
      <c r="W63">
        <v>0.55113000000000001</v>
      </c>
      <c r="X63">
        <v>13.193</v>
      </c>
      <c r="Y63">
        <v>12.776999999999999</v>
      </c>
      <c r="Z63">
        <v>12.566000000000001</v>
      </c>
      <c r="AA63">
        <v>14.725</v>
      </c>
      <c r="AB63">
        <v>13.086</v>
      </c>
      <c r="AC63">
        <v>15.955</v>
      </c>
      <c r="AD63">
        <v>16.114999999999998</v>
      </c>
      <c r="AE63">
        <v>13.99</v>
      </c>
      <c r="AF63">
        <v>15.327</v>
      </c>
      <c r="AG63">
        <v>13.968</v>
      </c>
      <c r="AH63">
        <v>14.603999999999999</v>
      </c>
      <c r="AI63">
        <v>16.344999999999999</v>
      </c>
      <c r="AJ63">
        <v>12.784000000000001</v>
      </c>
      <c r="AK63">
        <v>14.298999999999999</v>
      </c>
      <c r="AL63">
        <v>16.474225999999899</v>
      </c>
      <c r="AM63">
        <v>16.047999999999998</v>
      </c>
      <c r="AN63">
        <v>13.878044436362</v>
      </c>
      <c r="AO63">
        <v>14.307121457178001</v>
      </c>
      <c r="AP63">
        <v>16.881550000000001</v>
      </c>
      <c r="AQ63">
        <v>16.857303999999999</v>
      </c>
      <c r="AR63">
        <v>297.51799999999997</v>
      </c>
      <c r="AS63">
        <v>386.80900000000003</v>
      </c>
      <c r="AT63">
        <v>442.36500000000001</v>
      </c>
      <c r="AU63">
        <v>462.09699999999998</v>
      </c>
      <c r="AV63">
        <v>493.25099999999998</v>
      </c>
      <c r="AW63">
        <v>727.64400000000001</v>
      </c>
      <c r="AX63">
        <v>643.99299999999903</v>
      </c>
      <c r="AY63">
        <v>355.42099999999999</v>
      </c>
      <c r="AZ63">
        <v>425.06</v>
      </c>
      <c r="BA63">
        <v>281.77499999999998</v>
      </c>
      <c r="BB63">
        <v>742.89499999999998</v>
      </c>
      <c r="BC63">
        <v>504.13400000000001</v>
      </c>
      <c r="BD63">
        <v>355.245</v>
      </c>
      <c r="BE63">
        <v>777.28099999999995</v>
      </c>
      <c r="BF63">
        <v>629.46354999999903</v>
      </c>
      <c r="BG63">
        <v>604.43410999999901</v>
      </c>
      <c r="BH63">
        <v>482.08261638785802</v>
      </c>
      <c r="BI63">
        <v>488.409463896852</v>
      </c>
      <c r="BJ63">
        <v>657.19592</v>
      </c>
      <c r="BK63">
        <v>599.04915800000003</v>
      </c>
      <c r="BL63" cm="1">
        <f t="array" ref="BL63">INDEX(R63:W63,0,MATCH($A63,$R$1:$W$1,0))</f>
        <v>0.448893334296666</v>
      </c>
      <c r="BM63" cm="1">
        <f t="array" ref="BM63">INDEX(AL63:AQ63,0,MATCH($A63,$R$1:$W$1,0))</f>
        <v>14.307121457178001</v>
      </c>
      <c r="BN63" cm="1">
        <f t="array" ref="BN63">INDEX(BF63:BK63,0,MATCH($A63,$R$1:$W$1,0))</f>
        <v>488.409463896852</v>
      </c>
    </row>
    <row r="64" spans="1:66" x14ac:dyDescent="0.35">
      <c r="A64" t="s">
        <v>64</v>
      </c>
      <c r="B64">
        <v>158266</v>
      </c>
      <c r="C64">
        <v>2007</v>
      </c>
      <c r="D64">
        <v>0.38066666666666599</v>
      </c>
      <c r="E64">
        <v>0.334666666666666</v>
      </c>
      <c r="F64">
        <v>0.36833333333333301</v>
      </c>
      <c r="G64">
        <v>0.42266666666666602</v>
      </c>
      <c r="H64">
        <v>0.377</v>
      </c>
      <c r="I64">
        <v>0.53366666666666596</v>
      </c>
      <c r="J64">
        <v>0.59299999999999997</v>
      </c>
      <c r="K64">
        <v>0.411333333333333</v>
      </c>
      <c r="L64">
        <v>0.50700000000000001</v>
      </c>
      <c r="M64">
        <v>0.47266666666666601</v>
      </c>
      <c r="N64">
        <v>0.58966666666666601</v>
      </c>
      <c r="O64">
        <v>0.54199999999999904</v>
      </c>
      <c r="P64">
        <v>0.38333333333333303</v>
      </c>
      <c r="Q64">
        <v>0.55333333333333301</v>
      </c>
      <c r="R64">
        <v>0.56174199999999896</v>
      </c>
      <c r="S64">
        <v>0.56597999999999904</v>
      </c>
      <c r="T64">
        <v>0.42834592565399998</v>
      </c>
      <c r="U64">
        <v>0.448893334296666</v>
      </c>
      <c r="V64">
        <v>0.60656333333333301</v>
      </c>
      <c r="W64">
        <v>0.55113000000000001</v>
      </c>
      <c r="X64">
        <v>13.193</v>
      </c>
      <c r="Y64">
        <v>12.776999999999999</v>
      </c>
      <c r="Z64">
        <v>12.566000000000001</v>
      </c>
      <c r="AA64">
        <v>14.725</v>
      </c>
      <c r="AB64">
        <v>13.086</v>
      </c>
      <c r="AC64">
        <v>15.955</v>
      </c>
      <c r="AD64">
        <v>16.114999999999998</v>
      </c>
      <c r="AE64">
        <v>13.99</v>
      </c>
      <c r="AF64">
        <v>15.327</v>
      </c>
      <c r="AG64">
        <v>13.968</v>
      </c>
      <c r="AH64">
        <v>14.603999999999999</v>
      </c>
      <c r="AI64">
        <v>16.344999999999999</v>
      </c>
      <c r="AJ64">
        <v>12.784000000000001</v>
      </c>
      <c r="AK64">
        <v>14.298999999999999</v>
      </c>
      <c r="AL64">
        <v>16.474225999999899</v>
      </c>
      <c r="AM64">
        <v>16.047999999999998</v>
      </c>
      <c r="AN64">
        <v>13.878044436362</v>
      </c>
      <c r="AO64">
        <v>14.307121457178001</v>
      </c>
      <c r="AP64">
        <v>16.881550000000001</v>
      </c>
      <c r="AQ64">
        <v>16.857303999999999</v>
      </c>
      <c r="AR64">
        <v>297.51799999999997</v>
      </c>
      <c r="AS64">
        <v>386.80900000000003</v>
      </c>
      <c r="AT64">
        <v>442.36500000000001</v>
      </c>
      <c r="AU64">
        <v>462.09699999999998</v>
      </c>
      <c r="AV64">
        <v>493.25099999999998</v>
      </c>
      <c r="AW64">
        <v>727.64400000000001</v>
      </c>
      <c r="AX64">
        <v>643.99299999999903</v>
      </c>
      <c r="AY64">
        <v>355.42099999999999</v>
      </c>
      <c r="AZ64">
        <v>425.06</v>
      </c>
      <c r="BA64">
        <v>281.77499999999998</v>
      </c>
      <c r="BB64">
        <v>742.89499999999998</v>
      </c>
      <c r="BC64">
        <v>504.13400000000001</v>
      </c>
      <c r="BD64">
        <v>355.245</v>
      </c>
      <c r="BE64">
        <v>777.28099999999995</v>
      </c>
      <c r="BF64">
        <v>629.46354999999903</v>
      </c>
      <c r="BG64">
        <v>604.43410999999901</v>
      </c>
      <c r="BH64">
        <v>482.08261638785802</v>
      </c>
      <c r="BI64">
        <v>488.409463896852</v>
      </c>
      <c r="BJ64">
        <v>657.19592</v>
      </c>
      <c r="BK64">
        <v>599.04915800000003</v>
      </c>
      <c r="BL64" cm="1">
        <f t="array" ref="BL64">INDEX(R64:W64,0,MATCH($A64,$R$1:$W$1,0))</f>
        <v>0.56174199999999896</v>
      </c>
      <c r="BM64" cm="1">
        <f t="array" ref="BM64">INDEX(AL64:AQ64,0,MATCH($A64,$R$1:$W$1,0))</f>
        <v>16.474225999999899</v>
      </c>
      <c r="BN64" cm="1">
        <f t="array" ref="BN64">INDEX(BF64:BK64,0,MATCH($A64,$R$1:$W$1,0))</f>
        <v>629.46354999999903</v>
      </c>
    </row>
    <row r="65" spans="1:66" x14ac:dyDescent="0.35">
      <c r="A65" t="s">
        <v>65</v>
      </c>
      <c r="B65">
        <v>318822</v>
      </c>
      <c r="C65">
        <v>2007</v>
      </c>
      <c r="D65">
        <v>0.38066666666666599</v>
      </c>
      <c r="E65">
        <v>0.334666666666666</v>
      </c>
      <c r="F65">
        <v>0.36833333333333301</v>
      </c>
      <c r="G65">
        <v>0.42266666666666602</v>
      </c>
      <c r="H65">
        <v>0.377</v>
      </c>
      <c r="I65">
        <v>0.53366666666666596</v>
      </c>
      <c r="J65">
        <v>0.59299999999999997</v>
      </c>
      <c r="K65">
        <v>0.411333333333333</v>
      </c>
      <c r="L65">
        <v>0.50700000000000001</v>
      </c>
      <c r="M65">
        <v>0.47266666666666601</v>
      </c>
      <c r="N65">
        <v>0.58966666666666601</v>
      </c>
      <c r="O65">
        <v>0.54199999999999904</v>
      </c>
      <c r="P65">
        <v>0.38333333333333303</v>
      </c>
      <c r="Q65">
        <v>0.55333333333333301</v>
      </c>
      <c r="R65">
        <v>0.56174199999999896</v>
      </c>
      <c r="S65">
        <v>0.56597999999999904</v>
      </c>
      <c r="T65">
        <v>0.42834592565399998</v>
      </c>
      <c r="U65">
        <v>0.448893334296666</v>
      </c>
      <c r="V65">
        <v>0.60656333333333301</v>
      </c>
      <c r="W65">
        <v>0.55113000000000001</v>
      </c>
      <c r="X65">
        <v>13.193</v>
      </c>
      <c r="Y65">
        <v>12.776999999999999</v>
      </c>
      <c r="Z65">
        <v>12.566000000000001</v>
      </c>
      <c r="AA65">
        <v>14.725</v>
      </c>
      <c r="AB65">
        <v>13.086</v>
      </c>
      <c r="AC65">
        <v>15.955</v>
      </c>
      <c r="AD65">
        <v>16.114999999999998</v>
      </c>
      <c r="AE65">
        <v>13.99</v>
      </c>
      <c r="AF65">
        <v>15.327</v>
      </c>
      <c r="AG65">
        <v>13.968</v>
      </c>
      <c r="AH65">
        <v>14.603999999999999</v>
      </c>
      <c r="AI65">
        <v>16.344999999999999</v>
      </c>
      <c r="AJ65">
        <v>12.784000000000001</v>
      </c>
      <c r="AK65">
        <v>14.298999999999999</v>
      </c>
      <c r="AL65">
        <v>16.474225999999899</v>
      </c>
      <c r="AM65">
        <v>16.047999999999998</v>
      </c>
      <c r="AN65">
        <v>13.878044436362</v>
      </c>
      <c r="AO65">
        <v>14.307121457178001</v>
      </c>
      <c r="AP65">
        <v>16.881550000000001</v>
      </c>
      <c r="AQ65">
        <v>16.857303999999999</v>
      </c>
      <c r="AR65">
        <v>297.51799999999997</v>
      </c>
      <c r="AS65">
        <v>386.80900000000003</v>
      </c>
      <c r="AT65">
        <v>442.36500000000001</v>
      </c>
      <c r="AU65">
        <v>462.09699999999998</v>
      </c>
      <c r="AV65">
        <v>493.25099999999998</v>
      </c>
      <c r="AW65">
        <v>727.64400000000001</v>
      </c>
      <c r="AX65">
        <v>643.99299999999903</v>
      </c>
      <c r="AY65">
        <v>355.42099999999999</v>
      </c>
      <c r="AZ65">
        <v>425.06</v>
      </c>
      <c r="BA65">
        <v>281.77499999999998</v>
      </c>
      <c r="BB65">
        <v>742.89499999999998</v>
      </c>
      <c r="BC65">
        <v>504.13400000000001</v>
      </c>
      <c r="BD65">
        <v>355.245</v>
      </c>
      <c r="BE65">
        <v>777.28099999999995</v>
      </c>
      <c r="BF65">
        <v>629.46354999999903</v>
      </c>
      <c r="BG65">
        <v>604.43410999999901</v>
      </c>
      <c r="BH65">
        <v>482.08261638785802</v>
      </c>
      <c r="BI65">
        <v>488.409463896852</v>
      </c>
      <c r="BJ65">
        <v>657.19592</v>
      </c>
      <c r="BK65">
        <v>599.04915800000003</v>
      </c>
      <c r="BL65" cm="1">
        <f t="array" ref="BL65">INDEX(R65:W65,0,MATCH($A65,$R$1:$W$1,0))</f>
        <v>0.42834592565399998</v>
      </c>
      <c r="BM65" cm="1">
        <f t="array" ref="BM65">INDEX(AL65:AQ65,0,MATCH($A65,$R$1:$W$1,0))</f>
        <v>13.878044436362</v>
      </c>
      <c r="BN65" cm="1">
        <f t="array" ref="BN65">INDEX(BF65:BK65,0,MATCH($A65,$R$1:$W$1,0))</f>
        <v>482.08261638785802</v>
      </c>
    </row>
    <row r="66" spans="1:66" x14ac:dyDescent="0.35">
      <c r="A66" t="s">
        <v>66</v>
      </c>
      <c r="B66">
        <v>193379</v>
      </c>
      <c r="C66">
        <v>2007</v>
      </c>
      <c r="D66">
        <v>0.38066666666666599</v>
      </c>
      <c r="E66">
        <v>0.334666666666666</v>
      </c>
      <c r="F66">
        <v>0.36833333333333301</v>
      </c>
      <c r="G66">
        <v>0.42266666666666602</v>
      </c>
      <c r="H66">
        <v>0.377</v>
      </c>
      <c r="I66">
        <v>0.53366666666666596</v>
      </c>
      <c r="J66">
        <v>0.59299999999999997</v>
      </c>
      <c r="K66">
        <v>0.411333333333333</v>
      </c>
      <c r="L66">
        <v>0.50700000000000001</v>
      </c>
      <c r="M66">
        <v>0.47266666666666601</v>
      </c>
      <c r="N66">
        <v>0.58966666666666601</v>
      </c>
      <c r="O66">
        <v>0.54199999999999904</v>
      </c>
      <c r="P66">
        <v>0.38333333333333303</v>
      </c>
      <c r="Q66">
        <v>0.55333333333333301</v>
      </c>
      <c r="R66">
        <v>0.56174199999999896</v>
      </c>
      <c r="S66">
        <v>0.56597999999999904</v>
      </c>
      <c r="T66">
        <v>0.42834592565399998</v>
      </c>
      <c r="U66">
        <v>0.448893334296666</v>
      </c>
      <c r="V66">
        <v>0.60656333333333301</v>
      </c>
      <c r="W66">
        <v>0.55113000000000001</v>
      </c>
      <c r="X66">
        <v>13.193</v>
      </c>
      <c r="Y66">
        <v>12.776999999999999</v>
      </c>
      <c r="Z66">
        <v>12.566000000000001</v>
      </c>
      <c r="AA66">
        <v>14.725</v>
      </c>
      <c r="AB66">
        <v>13.086</v>
      </c>
      <c r="AC66">
        <v>15.955</v>
      </c>
      <c r="AD66">
        <v>16.114999999999998</v>
      </c>
      <c r="AE66">
        <v>13.99</v>
      </c>
      <c r="AF66">
        <v>15.327</v>
      </c>
      <c r="AG66">
        <v>13.968</v>
      </c>
      <c r="AH66">
        <v>14.603999999999999</v>
      </c>
      <c r="AI66">
        <v>16.344999999999999</v>
      </c>
      <c r="AJ66">
        <v>12.784000000000001</v>
      </c>
      <c r="AK66">
        <v>14.298999999999999</v>
      </c>
      <c r="AL66">
        <v>16.474225999999899</v>
      </c>
      <c r="AM66">
        <v>16.047999999999998</v>
      </c>
      <c r="AN66">
        <v>13.878044436362</v>
      </c>
      <c r="AO66">
        <v>14.307121457178001</v>
      </c>
      <c r="AP66">
        <v>16.881550000000001</v>
      </c>
      <c r="AQ66">
        <v>16.857303999999999</v>
      </c>
      <c r="AR66">
        <v>297.51799999999997</v>
      </c>
      <c r="AS66">
        <v>386.80900000000003</v>
      </c>
      <c r="AT66">
        <v>442.36500000000001</v>
      </c>
      <c r="AU66">
        <v>462.09699999999998</v>
      </c>
      <c r="AV66">
        <v>493.25099999999998</v>
      </c>
      <c r="AW66">
        <v>727.64400000000001</v>
      </c>
      <c r="AX66">
        <v>643.99299999999903</v>
      </c>
      <c r="AY66">
        <v>355.42099999999999</v>
      </c>
      <c r="AZ66">
        <v>425.06</v>
      </c>
      <c r="BA66">
        <v>281.77499999999998</v>
      </c>
      <c r="BB66">
        <v>742.89499999999998</v>
      </c>
      <c r="BC66">
        <v>504.13400000000001</v>
      </c>
      <c r="BD66">
        <v>355.245</v>
      </c>
      <c r="BE66">
        <v>777.28099999999995</v>
      </c>
      <c r="BF66">
        <v>629.46354999999903</v>
      </c>
      <c r="BG66">
        <v>604.43410999999901</v>
      </c>
      <c r="BH66">
        <v>482.08261638785802</v>
      </c>
      <c r="BI66">
        <v>488.409463896852</v>
      </c>
      <c r="BJ66">
        <v>657.19592</v>
      </c>
      <c r="BK66">
        <v>599.04915800000003</v>
      </c>
      <c r="BL66" cm="1">
        <f t="array" ref="BL66">INDEX(R66:W66,0,MATCH($A66,$R$1:$W$1,0))</f>
        <v>0.60656333333333301</v>
      </c>
      <c r="BM66" cm="1">
        <f t="array" ref="BM66">INDEX(AL66:AQ66,0,MATCH($A66,$R$1:$W$1,0))</f>
        <v>16.881550000000001</v>
      </c>
      <c r="BN66" cm="1">
        <f t="array" ref="BN66">INDEX(BF66:BK66,0,MATCH($A66,$R$1:$W$1,0))</f>
        <v>657.19592</v>
      </c>
    </row>
    <row r="67" spans="1:66" x14ac:dyDescent="0.35">
      <c r="A67" t="s">
        <v>67</v>
      </c>
      <c r="B67">
        <v>100704</v>
      </c>
      <c r="C67">
        <v>2007</v>
      </c>
      <c r="D67">
        <v>0.38066666666666599</v>
      </c>
      <c r="E67">
        <v>0.334666666666666</v>
      </c>
      <c r="F67">
        <v>0.36833333333333301</v>
      </c>
      <c r="G67">
        <v>0.42266666666666602</v>
      </c>
      <c r="H67">
        <v>0.377</v>
      </c>
      <c r="I67">
        <v>0.53366666666666596</v>
      </c>
      <c r="J67">
        <v>0.59299999999999997</v>
      </c>
      <c r="K67">
        <v>0.411333333333333</v>
      </c>
      <c r="L67">
        <v>0.50700000000000001</v>
      </c>
      <c r="M67">
        <v>0.47266666666666601</v>
      </c>
      <c r="N67">
        <v>0.58966666666666601</v>
      </c>
      <c r="O67">
        <v>0.54199999999999904</v>
      </c>
      <c r="P67">
        <v>0.38333333333333303</v>
      </c>
      <c r="Q67">
        <v>0.55333333333333301</v>
      </c>
      <c r="R67">
        <v>0.56174199999999896</v>
      </c>
      <c r="S67">
        <v>0.56597999999999904</v>
      </c>
      <c r="T67">
        <v>0.42834592565399998</v>
      </c>
      <c r="U67">
        <v>0.448893334296666</v>
      </c>
      <c r="V67">
        <v>0.60656333333333301</v>
      </c>
      <c r="W67">
        <v>0.55113000000000001</v>
      </c>
      <c r="X67">
        <v>13.193</v>
      </c>
      <c r="Y67">
        <v>12.776999999999999</v>
      </c>
      <c r="Z67">
        <v>12.566000000000001</v>
      </c>
      <c r="AA67">
        <v>14.725</v>
      </c>
      <c r="AB67">
        <v>13.086</v>
      </c>
      <c r="AC67">
        <v>15.955</v>
      </c>
      <c r="AD67">
        <v>16.114999999999998</v>
      </c>
      <c r="AE67">
        <v>13.99</v>
      </c>
      <c r="AF67">
        <v>15.327</v>
      </c>
      <c r="AG67">
        <v>13.968</v>
      </c>
      <c r="AH67">
        <v>14.603999999999999</v>
      </c>
      <c r="AI67">
        <v>16.344999999999999</v>
      </c>
      <c r="AJ67">
        <v>12.784000000000001</v>
      </c>
      <c r="AK67">
        <v>14.298999999999999</v>
      </c>
      <c r="AL67">
        <v>16.474225999999899</v>
      </c>
      <c r="AM67">
        <v>16.047999999999998</v>
      </c>
      <c r="AN67">
        <v>13.878044436362</v>
      </c>
      <c r="AO67">
        <v>14.307121457178001</v>
      </c>
      <c r="AP67">
        <v>16.881550000000001</v>
      </c>
      <c r="AQ67">
        <v>16.857303999999999</v>
      </c>
      <c r="AR67">
        <v>297.51799999999997</v>
      </c>
      <c r="AS67">
        <v>386.80900000000003</v>
      </c>
      <c r="AT67">
        <v>442.36500000000001</v>
      </c>
      <c r="AU67">
        <v>462.09699999999998</v>
      </c>
      <c r="AV67">
        <v>493.25099999999998</v>
      </c>
      <c r="AW67">
        <v>727.64400000000001</v>
      </c>
      <c r="AX67">
        <v>643.99299999999903</v>
      </c>
      <c r="AY67">
        <v>355.42099999999999</v>
      </c>
      <c r="AZ67">
        <v>425.06</v>
      </c>
      <c r="BA67">
        <v>281.77499999999998</v>
      </c>
      <c r="BB67">
        <v>742.89499999999998</v>
      </c>
      <c r="BC67">
        <v>504.13400000000001</v>
      </c>
      <c r="BD67">
        <v>355.245</v>
      </c>
      <c r="BE67">
        <v>777.28099999999995</v>
      </c>
      <c r="BF67">
        <v>629.46354999999903</v>
      </c>
      <c r="BG67">
        <v>604.43410999999901</v>
      </c>
      <c r="BH67">
        <v>482.08261638785802</v>
      </c>
      <c r="BI67">
        <v>488.409463896852</v>
      </c>
      <c r="BJ67">
        <v>657.19592</v>
      </c>
      <c r="BK67">
        <v>599.04915800000003</v>
      </c>
      <c r="BL67" cm="1">
        <f t="array" ref="BL67">INDEX(R67:W67,0,MATCH($A67,$R$1:$W$1,0))</f>
        <v>0.55113000000000001</v>
      </c>
      <c r="BM67" cm="1">
        <f t="array" ref="BM67">INDEX(AL67:AQ67,0,MATCH($A67,$R$1:$W$1,0))</f>
        <v>16.857303999999999</v>
      </c>
      <c r="BN67" cm="1">
        <f t="array" ref="BN67">INDEX(BF67:BK67,0,MATCH($A67,$R$1:$W$1,0))</f>
        <v>599.04915800000003</v>
      </c>
    </row>
    <row r="68" spans="1:66" x14ac:dyDescent="0.35">
      <c r="A68" t="s">
        <v>63</v>
      </c>
      <c r="B68">
        <v>731210</v>
      </c>
      <c r="C68">
        <v>2008</v>
      </c>
      <c r="D68">
        <v>0.58199999999999996</v>
      </c>
      <c r="E68">
        <v>0.52500000000000002</v>
      </c>
      <c r="F68">
        <v>0.63466666666666605</v>
      </c>
      <c r="G68">
        <v>0.64166666666666605</v>
      </c>
      <c r="H68">
        <v>0.628</v>
      </c>
      <c r="I68">
        <v>0.57299999999999995</v>
      </c>
      <c r="J68">
        <v>0.66200000000000003</v>
      </c>
      <c r="K68">
        <v>0.48166666666666602</v>
      </c>
      <c r="L68">
        <v>0.61499999999999999</v>
      </c>
      <c r="M68">
        <v>0.51399999999999901</v>
      </c>
      <c r="N68">
        <v>0.64500000000000002</v>
      </c>
      <c r="O68">
        <v>0.65333333333333299</v>
      </c>
      <c r="P68">
        <v>0.55233333333333301</v>
      </c>
      <c r="Q68">
        <v>0.62266666666666604</v>
      </c>
      <c r="R68">
        <v>0.70664466666666603</v>
      </c>
      <c r="S68">
        <v>0.65296666666666603</v>
      </c>
      <c r="T68">
        <v>0.61431296264000002</v>
      </c>
      <c r="U68">
        <v>0.61740523926000002</v>
      </c>
      <c r="V68">
        <v>0.69986333333333295</v>
      </c>
      <c r="W68">
        <v>0.71374199999999999</v>
      </c>
      <c r="X68">
        <v>17.324000000000002</v>
      </c>
      <c r="Y68">
        <v>19.591999999999999</v>
      </c>
      <c r="Z68">
        <v>18.911999999999999</v>
      </c>
      <c r="AA68">
        <v>20.956</v>
      </c>
      <c r="AB68">
        <v>19.503</v>
      </c>
      <c r="AC68">
        <v>18.844999999999999</v>
      </c>
      <c r="AD68">
        <v>20.827000000000002</v>
      </c>
      <c r="AE68">
        <v>18.931000000000001</v>
      </c>
      <c r="AF68">
        <v>21.010999999999999</v>
      </c>
      <c r="AG68">
        <v>18.396999999999998</v>
      </c>
      <c r="AH68">
        <v>20.76</v>
      </c>
      <c r="AI68">
        <v>21.204999999999998</v>
      </c>
      <c r="AJ68">
        <v>18.349</v>
      </c>
      <c r="AK68">
        <v>19.556999999999999</v>
      </c>
      <c r="AL68">
        <v>22.661193999999998</v>
      </c>
      <c r="AM68">
        <v>20.795120000000001</v>
      </c>
      <c r="AN68">
        <v>19.835394433874001</v>
      </c>
      <c r="AO68">
        <v>19.947245752996</v>
      </c>
      <c r="AP68">
        <v>22.855450000000001</v>
      </c>
      <c r="AQ68">
        <v>23.174638000000002</v>
      </c>
      <c r="AR68">
        <v>568.21600000000001</v>
      </c>
      <c r="AS68">
        <v>570.85299999999995</v>
      </c>
      <c r="AT68">
        <v>685.39800000000002</v>
      </c>
      <c r="AU68">
        <v>722.68399999999997</v>
      </c>
      <c r="AV68">
        <v>771.20299999999997</v>
      </c>
      <c r="AW68">
        <v>976.32399999999996</v>
      </c>
      <c r="AX68">
        <v>899.92399999999998</v>
      </c>
      <c r="AY68">
        <v>414.61900000000003</v>
      </c>
      <c r="AZ68">
        <v>467.48399999999998</v>
      </c>
      <c r="BA68">
        <v>255.48500000000001</v>
      </c>
      <c r="BB68">
        <v>1227.99</v>
      </c>
      <c r="BC68">
        <v>713.02499999999998</v>
      </c>
      <c r="BD68">
        <v>528.38900000000001</v>
      </c>
      <c r="BE68">
        <v>1436.556</v>
      </c>
      <c r="BF68">
        <v>948.58470999999997</v>
      </c>
      <c r="BG68">
        <v>850.91469999999902</v>
      </c>
      <c r="BH68">
        <v>733.07346736621503</v>
      </c>
      <c r="BI68">
        <v>723.30252014368796</v>
      </c>
      <c r="BJ68">
        <v>996.48751500000003</v>
      </c>
      <c r="BK68">
        <v>901.09138399999995</v>
      </c>
      <c r="BL68" cm="1">
        <f t="array" ref="BL68">INDEX(R68:W68,0,MATCH($A68,$R$1:$W$1,0))</f>
        <v>0.61740523926000002</v>
      </c>
      <c r="BM68" cm="1">
        <f t="array" ref="BM68">INDEX(AL68:AQ68,0,MATCH($A68,$R$1:$W$1,0))</f>
        <v>19.947245752996</v>
      </c>
      <c r="BN68" cm="1">
        <f t="array" ref="BN68">INDEX(BF68:BK68,0,MATCH($A68,$R$1:$W$1,0))</f>
        <v>723.30252014368796</v>
      </c>
    </row>
    <row r="69" spans="1:66" x14ac:dyDescent="0.35">
      <c r="A69" t="s">
        <v>64</v>
      </c>
      <c r="B69">
        <v>397326</v>
      </c>
      <c r="C69">
        <v>2008</v>
      </c>
      <c r="D69">
        <v>0.58199999999999996</v>
      </c>
      <c r="E69">
        <v>0.52500000000000002</v>
      </c>
      <c r="F69">
        <v>0.63466666666666605</v>
      </c>
      <c r="G69">
        <v>0.64166666666666605</v>
      </c>
      <c r="H69">
        <v>0.628</v>
      </c>
      <c r="I69">
        <v>0.57299999999999995</v>
      </c>
      <c r="J69">
        <v>0.66200000000000003</v>
      </c>
      <c r="K69">
        <v>0.48166666666666602</v>
      </c>
      <c r="L69">
        <v>0.61499999999999999</v>
      </c>
      <c r="M69">
        <v>0.51399999999999901</v>
      </c>
      <c r="N69">
        <v>0.64500000000000002</v>
      </c>
      <c r="O69">
        <v>0.65333333333333299</v>
      </c>
      <c r="P69">
        <v>0.55233333333333301</v>
      </c>
      <c r="Q69">
        <v>0.62266666666666604</v>
      </c>
      <c r="R69">
        <v>0.70664466666666603</v>
      </c>
      <c r="S69">
        <v>0.65296666666666603</v>
      </c>
      <c r="T69">
        <v>0.61431296264000002</v>
      </c>
      <c r="U69">
        <v>0.61740523926000002</v>
      </c>
      <c r="V69">
        <v>0.69986333333333295</v>
      </c>
      <c r="W69">
        <v>0.71374199999999999</v>
      </c>
      <c r="X69">
        <v>17.324000000000002</v>
      </c>
      <c r="Y69">
        <v>19.591999999999999</v>
      </c>
      <c r="Z69">
        <v>18.911999999999999</v>
      </c>
      <c r="AA69">
        <v>20.956</v>
      </c>
      <c r="AB69">
        <v>19.503</v>
      </c>
      <c r="AC69">
        <v>18.844999999999999</v>
      </c>
      <c r="AD69">
        <v>20.827000000000002</v>
      </c>
      <c r="AE69">
        <v>18.931000000000001</v>
      </c>
      <c r="AF69">
        <v>21.010999999999999</v>
      </c>
      <c r="AG69">
        <v>18.396999999999998</v>
      </c>
      <c r="AH69">
        <v>20.76</v>
      </c>
      <c r="AI69">
        <v>21.204999999999998</v>
      </c>
      <c r="AJ69">
        <v>18.349</v>
      </c>
      <c r="AK69">
        <v>19.556999999999999</v>
      </c>
      <c r="AL69">
        <v>22.661193999999998</v>
      </c>
      <c r="AM69">
        <v>20.795120000000001</v>
      </c>
      <c r="AN69">
        <v>19.835394433874001</v>
      </c>
      <c r="AO69">
        <v>19.947245752996</v>
      </c>
      <c r="AP69">
        <v>22.855450000000001</v>
      </c>
      <c r="AQ69">
        <v>23.174638000000002</v>
      </c>
      <c r="AR69">
        <v>568.21600000000001</v>
      </c>
      <c r="AS69">
        <v>570.85299999999995</v>
      </c>
      <c r="AT69">
        <v>685.39800000000002</v>
      </c>
      <c r="AU69">
        <v>722.68399999999997</v>
      </c>
      <c r="AV69">
        <v>771.20299999999997</v>
      </c>
      <c r="AW69">
        <v>976.32399999999996</v>
      </c>
      <c r="AX69">
        <v>899.92399999999998</v>
      </c>
      <c r="AY69">
        <v>414.61900000000003</v>
      </c>
      <c r="AZ69">
        <v>467.48399999999998</v>
      </c>
      <c r="BA69">
        <v>255.48500000000001</v>
      </c>
      <c r="BB69">
        <v>1227.99</v>
      </c>
      <c r="BC69">
        <v>713.02499999999998</v>
      </c>
      <c r="BD69">
        <v>528.38900000000001</v>
      </c>
      <c r="BE69">
        <v>1436.556</v>
      </c>
      <c r="BF69">
        <v>948.58470999999997</v>
      </c>
      <c r="BG69">
        <v>850.91469999999902</v>
      </c>
      <c r="BH69">
        <v>733.07346736621503</v>
      </c>
      <c r="BI69">
        <v>723.30252014368796</v>
      </c>
      <c r="BJ69">
        <v>996.48751500000003</v>
      </c>
      <c r="BK69">
        <v>901.09138399999995</v>
      </c>
      <c r="BL69" cm="1">
        <f t="array" ref="BL69">INDEX(R69:W69,0,MATCH($A69,$R$1:$W$1,0))</f>
        <v>0.70664466666666603</v>
      </c>
      <c r="BM69" cm="1">
        <f t="array" ref="BM69">INDEX(AL69:AQ69,0,MATCH($A69,$R$1:$W$1,0))</f>
        <v>22.661193999999998</v>
      </c>
      <c r="BN69" cm="1">
        <f t="array" ref="BN69">INDEX(BF69:BK69,0,MATCH($A69,$R$1:$W$1,0))</f>
        <v>948.58470999999997</v>
      </c>
    </row>
    <row r="70" spans="1:66" x14ac:dyDescent="0.35">
      <c r="A70" t="s">
        <v>65</v>
      </c>
      <c r="B70">
        <v>678171</v>
      </c>
      <c r="C70">
        <v>2008</v>
      </c>
      <c r="D70">
        <v>0.58199999999999996</v>
      </c>
      <c r="E70">
        <v>0.52500000000000002</v>
      </c>
      <c r="F70">
        <v>0.63466666666666605</v>
      </c>
      <c r="G70">
        <v>0.64166666666666605</v>
      </c>
      <c r="H70">
        <v>0.628</v>
      </c>
      <c r="I70">
        <v>0.57299999999999995</v>
      </c>
      <c r="J70">
        <v>0.66200000000000003</v>
      </c>
      <c r="K70">
        <v>0.48166666666666602</v>
      </c>
      <c r="L70">
        <v>0.61499999999999999</v>
      </c>
      <c r="M70">
        <v>0.51399999999999901</v>
      </c>
      <c r="N70">
        <v>0.64500000000000002</v>
      </c>
      <c r="O70">
        <v>0.65333333333333299</v>
      </c>
      <c r="P70">
        <v>0.55233333333333301</v>
      </c>
      <c r="Q70">
        <v>0.62266666666666604</v>
      </c>
      <c r="R70">
        <v>0.70664466666666603</v>
      </c>
      <c r="S70">
        <v>0.65296666666666603</v>
      </c>
      <c r="T70">
        <v>0.61431296264000002</v>
      </c>
      <c r="U70">
        <v>0.61740523926000002</v>
      </c>
      <c r="V70">
        <v>0.69986333333333295</v>
      </c>
      <c r="W70">
        <v>0.71374199999999999</v>
      </c>
      <c r="X70">
        <v>17.324000000000002</v>
      </c>
      <c r="Y70">
        <v>19.591999999999999</v>
      </c>
      <c r="Z70">
        <v>18.911999999999999</v>
      </c>
      <c r="AA70">
        <v>20.956</v>
      </c>
      <c r="AB70">
        <v>19.503</v>
      </c>
      <c r="AC70">
        <v>18.844999999999999</v>
      </c>
      <c r="AD70">
        <v>20.827000000000002</v>
      </c>
      <c r="AE70">
        <v>18.931000000000001</v>
      </c>
      <c r="AF70">
        <v>21.010999999999999</v>
      </c>
      <c r="AG70">
        <v>18.396999999999998</v>
      </c>
      <c r="AH70">
        <v>20.76</v>
      </c>
      <c r="AI70">
        <v>21.204999999999998</v>
      </c>
      <c r="AJ70">
        <v>18.349</v>
      </c>
      <c r="AK70">
        <v>19.556999999999999</v>
      </c>
      <c r="AL70">
        <v>22.661193999999998</v>
      </c>
      <c r="AM70">
        <v>20.795120000000001</v>
      </c>
      <c r="AN70">
        <v>19.835394433874001</v>
      </c>
      <c r="AO70">
        <v>19.947245752996</v>
      </c>
      <c r="AP70">
        <v>22.855450000000001</v>
      </c>
      <c r="AQ70">
        <v>23.174638000000002</v>
      </c>
      <c r="AR70">
        <v>568.21600000000001</v>
      </c>
      <c r="AS70">
        <v>570.85299999999995</v>
      </c>
      <c r="AT70">
        <v>685.39800000000002</v>
      </c>
      <c r="AU70">
        <v>722.68399999999997</v>
      </c>
      <c r="AV70">
        <v>771.20299999999997</v>
      </c>
      <c r="AW70">
        <v>976.32399999999996</v>
      </c>
      <c r="AX70">
        <v>899.92399999999998</v>
      </c>
      <c r="AY70">
        <v>414.61900000000003</v>
      </c>
      <c r="AZ70">
        <v>467.48399999999998</v>
      </c>
      <c r="BA70">
        <v>255.48500000000001</v>
      </c>
      <c r="BB70">
        <v>1227.99</v>
      </c>
      <c r="BC70">
        <v>713.02499999999998</v>
      </c>
      <c r="BD70">
        <v>528.38900000000001</v>
      </c>
      <c r="BE70">
        <v>1436.556</v>
      </c>
      <c r="BF70">
        <v>948.58470999999997</v>
      </c>
      <c r="BG70">
        <v>850.91469999999902</v>
      </c>
      <c r="BH70">
        <v>733.07346736621503</v>
      </c>
      <c r="BI70">
        <v>723.30252014368796</v>
      </c>
      <c r="BJ70">
        <v>996.48751500000003</v>
      </c>
      <c r="BK70">
        <v>901.09138399999995</v>
      </c>
      <c r="BL70" cm="1">
        <f t="array" ref="BL70">INDEX(R70:W70,0,MATCH($A70,$R$1:$W$1,0))</f>
        <v>0.61431296264000002</v>
      </c>
      <c r="BM70" cm="1">
        <f t="array" ref="BM70">INDEX(AL70:AQ70,0,MATCH($A70,$R$1:$W$1,0))</f>
        <v>19.835394433874001</v>
      </c>
      <c r="BN70" cm="1">
        <f t="array" ref="BN70">INDEX(BF70:BK70,0,MATCH($A70,$R$1:$W$1,0))</f>
        <v>733.07346736621503</v>
      </c>
    </row>
    <row r="71" spans="1:66" x14ac:dyDescent="0.35">
      <c r="A71" t="s">
        <v>66</v>
      </c>
      <c r="B71">
        <v>408219</v>
      </c>
      <c r="C71">
        <v>2008</v>
      </c>
      <c r="D71">
        <v>0.58199999999999996</v>
      </c>
      <c r="E71">
        <v>0.52500000000000002</v>
      </c>
      <c r="F71">
        <v>0.63466666666666605</v>
      </c>
      <c r="G71">
        <v>0.64166666666666605</v>
      </c>
      <c r="H71">
        <v>0.628</v>
      </c>
      <c r="I71">
        <v>0.57299999999999995</v>
      </c>
      <c r="J71">
        <v>0.66200000000000003</v>
      </c>
      <c r="K71">
        <v>0.48166666666666602</v>
      </c>
      <c r="L71">
        <v>0.61499999999999999</v>
      </c>
      <c r="M71">
        <v>0.51399999999999901</v>
      </c>
      <c r="N71">
        <v>0.64500000000000002</v>
      </c>
      <c r="O71">
        <v>0.65333333333333299</v>
      </c>
      <c r="P71">
        <v>0.55233333333333301</v>
      </c>
      <c r="Q71">
        <v>0.62266666666666604</v>
      </c>
      <c r="R71">
        <v>0.70664466666666603</v>
      </c>
      <c r="S71">
        <v>0.65296666666666603</v>
      </c>
      <c r="T71">
        <v>0.61431296264000002</v>
      </c>
      <c r="U71">
        <v>0.61740523926000002</v>
      </c>
      <c r="V71">
        <v>0.69986333333333295</v>
      </c>
      <c r="W71">
        <v>0.71374199999999999</v>
      </c>
      <c r="X71">
        <v>17.324000000000002</v>
      </c>
      <c r="Y71">
        <v>19.591999999999999</v>
      </c>
      <c r="Z71">
        <v>18.911999999999999</v>
      </c>
      <c r="AA71">
        <v>20.956</v>
      </c>
      <c r="AB71">
        <v>19.503</v>
      </c>
      <c r="AC71">
        <v>18.844999999999999</v>
      </c>
      <c r="AD71">
        <v>20.827000000000002</v>
      </c>
      <c r="AE71">
        <v>18.931000000000001</v>
      </c>
      <c r="AF71">
        <v>21.010999999999999</v>
      </c>
      <c r="AG71">
        <v>18.396999999999998</v>
      </c>
      <c r="AH71">
        <v>20.76</v>
      </c>
      <c r="AI71">
        <v>21.204999999999998</v>
      </c>
      <c r="AJ71">
        <v>18.349</v>
      </c>
      <c r="AK71">
        <v>19.556999999999999</v>
      </c>
      <c r="AL71">
        <v>22.661193999999998</v>
      </c>
      <c r="AM71">
        <v>20.795120000000001</v>
      </c>
      <c r="AN71">
        <v>19.835394433874001</v>
      </c>
      <c r="AO71">
        <v>19.947245752996</v>
      </c>
      <c r="AP71">
        <v>22.855450000000001</v>
      </c>
      <c r="AQ71">
        <v>23.174638000000002</v>
      </c>
      <c r="AR71">
        <v>568.21600000000001</v>
      </c>
      <c r="AS71">
        <v>570.85299999999995</v>
      </c>
      <c r="AT71">
        <v>685.39800000000002</v>
      </c>
      <c r="AU71">
        <v>722.68399999999997</v>
      </c>
      <c r="AV71">
        <v>771.20299999999997</v>
      </c>
      <c r="AW71">
        <v>976.32399999999996</v>
      </c>
      <c r="AX71">
        <v>899.92399999999998</v>
      </c>
      <c r="AY71">
        <v>414.61900000000003</v>
      </c>
      <c r="AZ71">
        <v>467.48399999999998</v>
      </c>
      <c r="BA71">
        <v>255.48500000000001</v>
      </c>
      <c r="BB71">
        <v>1227.99</v>
      </c>
      <c r="BC71">
        <v>713.02499999999998</v>
      </c>
      <c r="BD71">
        <v>528.38900000000001</v>
      </c>
      <c r="BE71">
        <v>1436.556</v>
      </c>
      <c r="BF71">
        <v>948.58470999999997</v>
      </c>
      <c r="BG71">
        <v>850.91469999999902</v>
      </c>
      <c r="BH71">
        <v>733.07346736621503</v>
      </c>
      <c r="BI71">
        <v>723.30252014368796</v>
      </c>
      <c r="BJ71">
        <v>996.48751500000003</v>
      </c>
      <c r="BK71">
        <v>901.09138399999995</v>
      </c>
      <c r="BL71" cm="1">
        <f t="array" ref="BL71">INDEX(R71:W71,0,MATCH($A71,$R$1:$W$1,0))</f>
        <v>0.69986333333333295</v>
      </c>
      <c r="BM71" cm="1">
        <f t="array" ref="BM71">INDEX(AL71:AQ71,0,MATCH($A71,$R$1:$W$1,0))</f>
        <v>22.855450000000001</v>
      </c>
      <c r="BN71" cm="1">
        <f t="array" ref="BN71">INDEX(BF71:BK71,0,MATCH($A71,$R$1:$W$1,0))</f>
        <v>996.48751500000003</v>
      </c>
    </row>
    <row r="72" spans="1:66" x14ac:dyDescent="0.35">
      <c r="A72" t="s">
        <v>67</v>
      </c>
      <c r="B72">
        <v>251515</v>
      </c>
      <c r="C72">
        <v>2008</v>
      </c>
      <c r="D72">
        <v>0.58199999999999996</v>
      </c>
      <c r="E72">
        <v>0.52500000000000002</v>
      </c>
      <c r="F72">
        <v>0.63466666666666605</v>
      </c>
      <c r="G72">
        <v>0.64166666666666605</v>
      </c>
      <c r="H72">
        <v>0.628</v>
      </c>
      <c r="I72">
        <v>0.57299999999999995</v>
      </c>
      <c r="J72">
        <v>0.66200000000000003</v>
      </c>
      <c r="K72">
        <v>0.48166666666666602</v>
      </c>
      <c r="L72">
        <v>0.61499999999999999</v>
      </c>
      <c r="M72">
        <v>0.51399999999999901</v>
      </c>
      <c r="N72">
        <v>0.64500000000000002</v>
      </c>
      <c r="O72">
        <v>0.65333333333333299</v>
      </c>
      <c r="P72">
        <v>0.55233333333333301</v>
      </c>
      <c r="Q72">
        <v>0.62266666666666604</v>
      </c>
      <c r="R72">
        <v>0.70664466666666603</v>
      </c>
      <c r="S72">
        <v>0.65296666666666603</v>
      </c>
      <c r="T72">
        <v>0.61431296264000002</v>
      </c>
      <c r="U72">
        <v>0.61740523926000002</v>
      </c>
      <c r="V72">
        <v>0.69986333333333295</v>
      </c>
      <c r="W72">
        <v>0.71374199999999999</v>
      </c>
      <c r="X72">
        <v>17.324000000000002</v>
      </c>
      <c r="Y72">
        <v>19.591999999999999</v>
      </c>
      <c r="Z72">
        <v>18.911999999999999</v>
      </c>
      <c r="AA72">
        <v>20.956</v>
      </c>
      <c r="AB72">
        <v>19.503</v>
      </c>
      <c r="AC72">
        <v>18.844999999999999</v>
      </c>
      <c r="AD72">
        <v>20.827000000000002</v>
      </c>
      <c r="AE72">
        <v>18.931000000000001</v>
      </c>
      <c r="AF72">
        <v>21.010999999999999</v>
      </c>
      <c r="AG72">
        <v>18.396999999999998</v>
      </c>
      <c r="AH72">
        <v>20.76</v>
      </c>
      <c r="AI72">
        <v>21.204999999999998</v>
      </c>
      <c r="AJ72">
        <v>18.349</v>
      </c>
      <c r="AK72">
        <v>19.556999999999999</v>
      </c>
      <c r="AL72">
        <v>22.661193999999998</v>
      </c>
      <c r="AM72">
        <v>20.795120000000001</v>
      </c>
      <c r="AN72">
        <v>19.835394433874001</v>
      </c>
      <c r="AO72">
        <v>19.947245752996</v>
      </c>
      <c r="AP72">
        <v>22.855450000000001</v>
      </c>
      <c r="AQ72">
        <v>23.174638000000002</v>
      </c>
      <c r="AR72">
        <v>568.21600000000001</v>
      </c>
      <c r="AS72">
        <v>570.85299999999995</v>
      </c>
      <c r="AT72">
        <v>685.39800000000002</v>
      </c>
      <c r="AU72">
        <v>722.68399999999997</v>
      </c>
      <c r="AV72">
        <v>771.20299999999997</v>
      </c>
      <c r="AW72">
        <v>976.32399999999996</v>
      </c>
      <c r="AX72">
        <v>899.92399999999998</v>
      </c>
      <c r="AY72">
        <v>414.61900000000003</v>
      </c>
      <c r="AZ72">
        <v>467.48399999999998</v>
      </c>
      <c r="BA72">
        <v>255.48500000000001</v>
      </c>
      <c r="BB72">
        <v>1227.99</v>
      </c>
      <c r="BC72">
        <v>713.02499999999998</v>
      </c>
      <c r="BD72">
        <v>528.38900000000001</v>
      </c>
      <c r="BE72">
        <v>1436.556</v>
      </c>
      <c r="BF72">
        <v>948.58470999999997</v>
      </c>
      <c r="BG72">
        <v>850.91469999999902</v>
      </c>
      <c r="BH72">
        <v>733.07346736621503</v>
      </c>
      <c r="BI72">
        <v>723.30252014368796</v>
      </c>
      <c r="BJ72">
        <v>996.48751500000003</v>
      </c>
      <c r="BK72">
        <v>901.09138399999995</v>
      </c>
      <c r="BL72" cm="1">
        <f t="array" ref="BL72">INDEX(R72:W72,0,MATCH($A72,$R$1:$W$1,0))</f>
        <v>0.71374199999999999</v>
      </c>
      <c r="BM72" cm="1">
        <f t="array" ref="BM72">INDEX(AL72:AQ72,0,MATCH($A72,$R$1:$W$1,0))</f>
        <v>23.174638000000002</v>
      </c>
      <c r="BN72" cm="1">
        <f t="array" ref="BN72">INDEX(BF72:BK72,0,MATCH($A72,$R$1:$W$1,0))</f>
        <v>901.09138399999995</v>
      </c>
    </row>
    <row r="73" spans="1:66" x14ac:dyDescent="0.35">
      <c r="A73" t="s">
        <v>63</v>
      </c>
      <c r="B73">
        <v>1032651</v>
      </c>
      <c r="C73">
        <v>2009</v>
      </c>
      <c r="D73">
        <v>0.53700000000000003</v>
      </c>
      <c r="E73">
        <v>0.43133333333333301</v>
      </c>
      <c r="F73">
        <v>0.51166666666666605</v>
      </c>
      <c r="G73">
        <v>0.52999999999999903</v>
      </c>
      <c r="H73">
        <v>0.51233333333333297</v>
      </c>
      <c r="I73">
        <v>0.65266666666666595</v>
      </c>
      <c r="J73">
        <v>0.67433333333333301</v>
      </c>
      <c r="K73">
        <v>0.51066666666666605</v>
      </c>
      <c r="L73">
        <v>0.70633333333333304</v>
      </c>
      <c r="M73">
        <v>0.56299999999999994</v>
      </c>
      <c r="N73">
        <v>0.66800000000000004</v>
      </c>
      <c r="O73">
        <v>0.70433333333333303</v>
      </c>
      <c r="P73">
        <v>0.51333333333333298</v>
      </c>
      <c r="Q73">
        <v>0.63700000000000001</v>
      </c>
      <c r="R73">
        <v>0.68942599999999998</v>
      </c>
      <c r="S73">
        <v>0.67163333333333297</v>
      </c>
      <c r="T73">
        <v>0.54585333298933303</v>
      </c>
      <c r="U73">
        <v>0.56662000119866596</v>
      </c>
      <c r="V73">
        <v>0.71509166666666601</v>
      </c>
      <c r="W73">
        <v>0.684151333333333</v>
      </c>
      <c r="X73">
        <v>19.222000000000001</v>
      </c>
      <c r="Y73">
        <v>21.312999999999999</v>
      </c>
      <c r="Z73">
        <v>20.277999999999999</v>
      </c>
      <c r="AA73">
        <v>21.143999999999998</v>
      </c>
      <c r="AB73">
        <v>20.158000000000001</v>
      </c>
      <c r="AC73">
        <v>18.067</v>
      </c>
      <c r="AD73">
        <v>21.562999999999999</v>
      </c>
      <c r="AE73">
        <v>20.155999999999999</v>
      </c>
      <c r="AF73">
        <v>22.407</v>
      </c>
      <c r="AG73">
        <v>19.504999999999999</v>
      </c>
      <c r="AH73">
        <v>20.879000000000001</v>
      </c>
      <c r="AI73">
        <v>21.501000000000001</v>
      </c>
      <c r="AJ73">
        <v>20.283999999999999</v>
      </c>
      <c r="AK73">
        <v>21.178000000000001</v>
      </c>
      <c r="AL73">
        <v>23.472752</v>
      </c>
      <c r="AM73">
        <v>21.2959</v>
      </c>
      <c r="AN73">
        <v>20.657822211069</v>
      </c>
      <c r="AO73">
        <v>20.755061469306</v>
      </c>
      <c r="AP73">
        <v>23.834589999999999</v>
      </c>
      <c r="AQ73">
        <v>23.885470000000002</v>
      </c>
      <c r="AR73">
        <v>550.63499999999999</v>
      </c>
      <c r="AS73">
        <v>548.09400000000005</v>
      </c>
      <c r="AT73">
        <v>729.53899999999999</v>
      </c>
      <c r="AU73">
        <v>755.89599999999996</v>
      </c>
      <c r="AV73">
        <v>844.64300000000003</v>
      </c>
      <c r="AW73">
        <v>1064.6420000000001</v>
      </c>
      <c r="AX73">
        <v>969.47500000000002</v>
      </c>
      <c r="AY73">
        <v>470.67700000000002</v>
      </c>
      <c r="AZ73">
        <v>571.37099999999998</v>
      </c>
      <c r="BA73">
        <v>343.20400000000001</v>
      </c>
      <c r="BB73">
        <v>1044.08</v>
      </c>
      <c r="BC73">
        <v>809.83199999999999</v>
      </c>
      <c r="BD73">
        <v>539.87599999999998</v>
      </c>
      <c r="BE73">
        <v>1202.8920000000001</v>
      </c>
      <c r="BF73">
        <v>958.81892400000004</v>
      </c>
      <c r="BG73">
        <v>924.09304999999995</v>
      </c>
      <c r="BH73">
        <v>759.22830291858395</v>
      </c>
      <c r="BI73">
        <v>768.455394378547</v>
      </c>
      <c r="BJ73">
        <v>962.87597500000004</v>
      </c>
      <c r="BK73">
        <v>925.02026000000001</v>
      </c>
      <c r="BL73" cm="1">
        <f t="array" ref="BL73">INDEX(R73:W73,0,MATCH($A73,$R$1:$W$1,0))</f>
        <v>0.56662000119866596</v>
      </c>
      <c r="BM73" cm="1">
        <f t="array" ref="BM73">INDEX(AL73:AQ73,0,MATCH($A73,$R$1:$W$1,0))</f>
        <v>20.755061469306</v>
      </c>
      <c r="BN73" cm="1">
        <f t="array" ref="BN73">INDEX(BF73:BK73,0,MATCH($A73,$R$1:$W$1,0))</f>
        <v>768.455394378547</v>
      </c>
    </row>
    <row r="74" spans="1:66" x14ac:dyDescent="0.35">
      <c r="A74" t="s">
        <v>64</v>
      </c>
      <c r="B74">
        <v>291301</v>
      </c>
      <c r="C74">
        <v>2009</v>
      </c>
      <c r="D74">
        <v>0.53700000000000003</v>
      </c>
      <c r="E74">
        <v>0.43133333333333301</v>
      </c>
      <c r="F74">
        <v>0.51166666666666605</v>
      </c>
      <c r="G74">
        <v>0.52999999999999903</v>
      </c>
      <c r="H74">
        <v>0.51233333333333297</v>
      </c>
      <c r="I74">
        <v>0.65266666666666595</v>
      </c>
      <c r="J74">
        <v>0.67433333333333301</v>
      </c>
      <c r="K74">
        <v>0.51066666666666605</v>
      </c>
      <c r="L74">
        <v>0.70633333333333304</v>
      </c>
      <c r="M74">
        <v>0.56299999999999994</v>
      </c>
      <c r="N74">
        <v>0.66800000000000004</v>
      </c>
      <c r="O74">
        <v>0.70433333333333303</v>
      </c>
      <c r="P74">
        <v>0.51333333333333298</v>
      </c>
      <c r="Q74">
        <v>0.63700000000000001</v>
      </c>
      <c r="R74">
        <v>0.68942599999999998</v>
      </c>
      <c r="S74">
        <v>0.67163333333333297</v>
      </c>
      <c r="T74">
        <v>0.54585333298933303</v>
      </c>
      <c r="U74">
        <v>0.56662000119866596</v>
      </c>
      <c r="V74">
        <v>0.71509166666666601</v>
      </c>
      <c r="W74">
        <v>0.684151333333333</v>
      </c>
      <c r="X74">
        <v>19.222000000000001</v>
      </c>
      <c r="Y74">
        <v>21.312999999999999</v>
      </c>
      <c r="Z74">
        <v>20.277999999999999</v>
      </c>
      <c r="AA74">
        <v>21.143999999999998</v>
      </c>
      <c r="AB74">
        <v>20.158000000000001</v>
      </c>
      <c r="AC74">
        <v>18.067</v>
      </c>
      <c r="AD74">
        <v>21.562999999999999</v>
      </c>
      <c r="AE74">
        <v>20.155999999999999</v>
      </c>
      <c r="AF74">
        <v>22.407</v>
      </c>
      <c r="AG74">
        <v>19.504999999999999</v>
      </c>
      <c r="AH74">
        <v>20.879000000000001</v>
      </c>
      <c r="AI74">
        <v>21.501000000000001</v>
      </c>
      <c r="AJ74">
        <v>20.283999999999999</v>
      </c>
      <c r="AK74">
        <v>21.178000000000001</v>
      </c>
      <c r="AL74">
        <v>23.472752</v>
      </c>
      <c r="AM74">
        <v>21.2959</v>
      </c>
      <c r="AN74">
        <v>20.657822211069</v>
      </c>
      <c r="AO74">
        <v>20.755061469306</v>
      </c>
      <c r="AP74">
        <v>23.834589999999999</v>
      </c>
      <c r="AQ74">
        <v>23.885470000000002</v>
      </c>
      <c r="AR74">
        <v>550.63499999999999</v>
      </c>
      <c r="AS74">
        <v>548.09400000000005</v>
      </c>
      <c r="AT74">
        <v>729.53899999999999</v>
      </c>
      <c r="AU74">
        <v>755.89599999999996</v>
      </c>
      <c r="AV74">
        <v>844.64300000000003</v>
      </c>
      <c r="AW74">
        <v>1064.6420000000001</v>
      </c>
      <c r="AX74">
        <v>969.47500000000002</v>
      </c>
      <c r="AY74">
        <v>470.67700000000002</v>
      </c>
      <c r="AZ74">
        <v>571.37099999999998</v>
      </c>
      <c r="BA74">
        <v>343.20400000000001</v>
      </c>
      <c r="BB74">
        <v>1044.08</v>
      </c>
      <c r="BC74">
        <v>809.83199999999999</v>
      </c>
      <c r="BD74">
        <v>539.87599999999998</v>
      </c>
      <c r="BE74">
        <v>1202.8920000000001</v>
      </c>
      <c r="BF74">
        <v>958.81892400000004</v>
      </c>
      <c r="BG74">
        <v>924.09304999999995</v>
      </c>
      <c r="BH74">
        <v>759.22830291858395</v>
      </c>
      <c r="BI74">
        <v>768.455394378547</v>
      </c>
      <c r="BJ74">
        <v>962.87597500000004</v>
      </c>
      <c r="BK74">
        <v>925.02026000000001</v>
      </c>
      <c r="BL74" cm="1">
        <f t="array" ref="BL74">INDEX(R74:W74,0,MATCH($A74,$R$1:$W$1,0))</f>
        <v>0.68942599999999998</v>
      </c>
      <c r="BM74" cm="1">
        <f t="array" ref="BM74">INDEX(AL74:AQ74,0,MATCH($A74,$R$1:$W$1,0))</f>
        <v>23.472752</v>
      </c>
      <c r="BN74" cm="1">
        <f t="array" ref="BN74">INDEX(BF74:BK74,0,MATCH($A74,$R$1:$W$1,0))</f>
        <v>958.81892400000004</v>
      </c>
    </row>
    <row r="75" spans="1:66" x14ac:dyDescent="0.35">
      <c r="A75" t="s">
        <v>65</v>
      </c>
      <c r="B75">
        <v>810121</v>
      </c>
      <c r="C75">
        <v>2009</v>
      </c>
      <c r="D75">
        <v>0.53700000000000003</v>
      </c>
      <c r="E75">
        <v>0.43133333333333301</v>
      </c>
      <c r="F75">
        <v>0.51166666666666605</v>
      </c>
      <c r="G75">
        <v>0.52999999999999903</v>
      </c>
      <c r="H75">
        <v>0.51233333333333297</v>
      </c>
      <c r="I75">
        <v>0.65266666666666595</v>
      </c>
      <c r="J75">
        <v>0.67433333333333301</v>
      </c>
      <c r="K75">
        <v>0.51066666666666605</v>
      </c>
      <c r="L75">
        <v>0.70633333333333304</v>
      </c>
      <c r="M75">
        <v>0.56299999999999994</v>
      </c>
      <c r="N75">
        <v>0.66800000000000004</v>
      </c>
      <c r="O75">
        <v>0.70433333333333303</v>
      </c>
      <c r="P75">
        <v>0.51333333333333298</v>
      </c>
      <c r="Q75">
        <v>0.63700000000000001</v>
      </c>
      <c r="R75">
        <v>0.68942599999999998</v>
      </c>
      <c r="S75">
        <v>0.67163333333333297</v>
      </c>
      <c r="T75">
        <v>0.54585333298933303</v>
      </c>
      <c r="U75">
        <v>0.56662000119866596</v>
      </c>
      <c r="V75">
        <v>0.71509166666666601</v>
      </c>
      <c r="W75">
        <v>0.684151333333333</v>
      </c>
      <c r="X75">
        <v>19.222000000000001</v>
      </c>
      <c r="Y75">
        <v>21.312999999999999</v>
      </c>
      <c r="Z75">
        <v>20.277999999999999</v>
      </c>
      <c r="AA75">
        <v>21.143999999999998</v>
      </c>
      <c r="AB75">
        <v>20.158000000000001</v>
      </c>
      <c r="AC75">
        <v>18.067</v>
      </c>
      <c r="AD75">
        <v>21.562999999999999</v>
      </c>
      <c r="AE75">
        <v>20.155999999999999</v>
      </c>
      <c r="AF75">
        <v>22.407</v>
      </c>
      <c r="AG75">
        <v>19.504999999999999</v>
      </c>
      <c r="AH75">
        <v>20.879000000000001</v>
      </c>
      <c r="AI75">
        <v>21.501000000000001</v>
      </c>
      <c r="AJ75">
        <v>20.283999999999999</v>
      </c>
      <c r="AK75">
        <v>21.178000000000001</v>
      </c>
      <c r="AL75">
        <v>23.472752</v>
      </c>
      <c r="AM75">
        <v>21.2959</v>
      </c>
      <c r="AN75">
        <v>20.657822211069</v>
      </c>
      <c r="AO75">
        <v>20.755061469306</v>
      </c>
      <c r="AP75">
        <v>23.834589999999999</v>
      </c>
      <c r="AQ75">
        <v>23.885470000000002</v>
      </c>
      <c r="AR75">
        <v>550.63499999999999</v>
      </c>
      <c r="AS75">
        <v>548.09400000000005</v>
      </c>
      <c r="AT75">
        <v>729.53899999999999</v>
      </c>
      <c r="AU75">
        <v>755.89599999999996</v>
      </c>
      <c r="AV75">
        <v>844.64300000000003</v>
      </c>
      <c r="AW75">
        <v>1064.6420000000001</v>
      </c>
      <c r="AX75">
        <v>969.47500000000002</v>
      </c>
      <c r="AY75">
        <v>470.67700000000002</v>
      </c>
      <c r="AZ75">
        <v>571.37099999999998</v>
      </c>
      <c r="BA75">
        <v>343.20400000000001</v>
      </c>
      <c r="BB75">
        <v>1044.08</v>
      </c>
      <c r="BC75">
        <v>809.83199999999999</v>
      </c>
      <c r="BD75">
        <v>539.87599999999998</v>
      </c>
      <c r="BE75">
        <v>1202.8920000000001</v>
      </c>
      <c r="BF75">
        <v>958.81892400000004</v>
      </c>
      <c r="BG75">
        <v>924.09304999999995</v>
      </c>
      <c r="BH75">
        <v>759.22830291858395</v>
      </c>
      <c r="BI75">
        <v>768.455394378547</v>
      </c>
      <c r="BJ75">
        <v>962.87597500000004</v>
      </c>
      <c r="BK75">
        <v>925.02026000000001</v>
      </c>
      <c r="BL75" cm="1">
        <f t="array" ref="BL75">INDEX(R75:W75,0,MATCH($A75,$R$1:$W$1,0))</f>
        <v>0.54585333298933303</v>
      </c>
      <c r="BM75" cm="1">
        <f t="array" ref="BM75">INDEX(AL75:AQ75,0,MATCH($A75,$R$1:$W$1,0))</f>
        <v>20.657822211069</v>
      </c>
      <c r="BN75" cm="1">
        <f t="array" ref="BN75">INDEX(BF75:BK75,0,MATCH($A75,$R$1:$W$1,0))</f>
        <v>759.22830291858395</v>
      </c>
    </row>
    <row r="76" spans="1:66" x14ac:dyDescent="0.35">
      <c r="A76" t="s">
        <v>66</v>
      </c>
      <c r="B76">
        <v>502104</v>
      </c>
      <c r="C76">
        <v>2009</v>
      </c>
      <c r="D76">
        <v>0.53700000000000003</v>
      </c>
      <c r="E76">
        <v>0.43133333333333301</v>
      </c>
      <c r="F76">
        <v>0.51166666666666605</v>
      </c>
      <c r="G76">
        <v>0.52999999999999903</v>
      </c>
      <c r="H76">
        <v>0.51233333333333297</v>
      </c>
      <c r="I76">
        <v>0.65266666666666595</v>
      </c>
      <c r="J76">
        <v>0.67433333333333301</v>
      </c>
      <c r="K76">
        <v>0.51066666666666605</v>
      </c>
      <c r="L76">
        <v>0.70633333333333304</v>
      </c>
      <c r="M76">
        <v>0.56299999999999994</v>
      </c>
      <c r="N76">
        <v>0.66800000000000004</v>
      </c>
      <c r="O76">
        <v>0.70433333333333303</v>
      </c>
      <c r="P76">
        <v>0.51333333333333298</v>
      </c>
      <c r="Q76">
        <v>0.63700000000000001</v>
      </c>
      <c r="R76">
        <v>0.68942599999999998</v>
      </c>
      <c r="S76">
        <v>0.67163333333333297</v>
      </c>
      <c r="T76">
        <v>0.54585333298933303</v>
      </c>
      <c r="U76">
        <v>0.56662000119866596</v>
      </c>
      <c r="V76">
        <v>0.71509166666666601</v>
      </c>
      <c r="W76">
        <v>0.684151333333333</v>
      </c>
      <c r="X76">
        <v>19.222000000000001</v>
      </c>
      <c r="Y76">
        <v>21.312999999999999</v>
      </c>
      <c r="Z76">
        <v>20.277999999999999</v>
      </c>
      <c r="AA76">
        <v>21.143999999999998</v>
      </c>
      <c r="AB76">
        <v>20.158000000000001</v>
      </c>
      <c r="AC76">
        <v>18.067</v>
      </c>
      <c r="AD76">
        <v>21.562999999999999</v>
      </c>
      <c r="AE76">
        <v>20.155999999999999</v>
      </c>
      <c r="AF76">
        <v>22.407</v>
      </c>
      <c r="AG76">
        <v>19.504999999999999</v>
      </c>
      <c r="AH76">
        <v>20.879000000000001</v>
      </c>
      <c r="AI76">
        <v>21.501000000000001</v>
      </c>
      <c r="AJ76">
        <v>20.283999999999999</v>
      </c>
      <c r="AK76">
        <v>21.178000000000001</v>
      </c>
      <c r="AL76">
        <v>23.472752</v>
      </c>
      <c r="AM76">
        <v>21.2959</v>
      </c>
      <c r="AN76">
        <v>20.657822211069</v>
      </c>
      <c r="AO76">
        <v>20.755061469306</v>
      </c>
      <c r="AP76">
        <v>23.834589999999999</v>
      </c>
      <c r="AQ76">
        <v>23.885470000000002</v>
      </c>
      <c r="AR76">
        <v>550.63499999999999</v>
      </c>
      <c r="AS76">
        <v>548.09400000000005</v>
      </c>
      <c r="AT76">
        <v>729.53899999999999</v>
      </c>
      <c r="AU76">
        <v>755.89599999999996</v>
      </c>
      <c r="AV76">
        <v>844.64300000000003</v>
      </c>
      <c r="AW76">
        <v>1064.6420000000001</v>
      </c>
      <c r="AX76">
        <v>969.47500000000002</v>
      </c>
      <c r="AY76">
        <v>470.67700000000002</v>
      </c>
      <c r="AZ76">
        <v>571.37099999999998</v>
      </c>
      <c r="BA76">
        <v>343.20400000000001</v>
      </c>
      <c r="BB76">
        <v>1044.08</v>
      </c>
      <c r="BC76">
        <v>809.83199999999999</v>
      </c>
      <c r="BD76">
        <v>539.87599999999998</v>
      </c>
      <c r="BE76">
        <v>1202.8920000000001</v>
      </c>
      <c r="BF76">
        <v>958.81892400000004</v>
      </c>
      <c r="BG76">
        <v>924.09304999999995</v>
      </c>
      <c r="BH76">
        <v>759.22830291858395</v>
      </c>
      <c r="BI76">
        <v>768.455394378547</v>
      </c>
      <c r="BJ76">
        <v>962.87597500000004</v>
      </c>
      <c r="BK76">
        <v>925.02026000000001</v>
      </c>
      <c r="BL76" cm="1">
        <f t="array" ref="BL76">INDEX(R76:W76,0,MATCH($A76,$R$1:$W$1,0))</f>
        <v>0.71509166666666601</v>
      </c>
      <c r="BM76" cm="1">
        <f t="array" ref="BM76">INDEX(AL76:AQ76,0,MATCH($A76,$R$1:$W$1,0))</f>
        <v>23.834589999999999</v>
      </c>
      <c r="BN76" cm="1">
        <f t="array" ref="BN76">INDEX(BF76:BK76,0,MATCH($A76,$R$1:$W$1,0))</f>
        <v>962.87597500000004</v>
      </c>
    </row>
    <row r="77" spans="1:66" x14ac:dyDescent="0.35">
      <c r="A77" t="s">
        <v>67</v>
      </c>
      <c r="B77">
        <v>224956</v>
      </c>
      <c r="C77">
        <v>2009</v>
      </c>
      <c r="D77">
        <v>0.53700000000000003</v>
      </c>
      <c r="E77">
        <v>0.43133333333333301</v>
      </c>
      <c r="F77">
        <v>0.51166666666666605</v>
      </c>
      <c r="G77">
        <v>0.52999999999999903</v>
      </c>
      <c r="H77">
        <v>0.51233333333333297</v>
      </c>
      <c r="I77">
        <v>0.65266666666666595</v>
      </c>
      <c r="J77">
        <v>0.67433333333333301</v>
      </c>
      <c r="K77">
        <v>0.51066666666666605</v>
      </c>
      <c r="L77">
        <v>0.70633333333333304</v>
      </c>
      <c r="M77">
        <v>0.56299999999999994</v>
      </c>
      <c r="N77">
        <v>0.66800000000000004</v>
      </c>
      <c r="O77">
        <v>0.70433333333333303</v>
      </c>
      <c r="P77">
        <v>0.51333333333333298</v>
      </c>
      <c r="Q77">
        <v>0.63700000000000001</v>
      </c>
      <c r="R77">
        <v>0.68942599999999998</v>
      </c>
      <c r="S77">
        <v>0.67163333333333297</v>
      </c>
      <c r="T77">
        <v>0.54585333298933303</v>
      </c>
      <c r="U77">
        <v>0.56662000119866596</v>
      </c>
      <c r="V77">
        <v>0.71509166666666601</v>
      </c>
      <c r="W77">
        <v>0.684151333333333</v>
      </c>
      <c r="X77">
        <v>19.222000000000001</v>
      </c>
      <c r="Y77">
        <v>21.312999999999999</v>
      </c>
      <c r="Z77">
        <v>20.277999999999999</v>
      </c>
      <c r="AA77">
        <v>21.143999999999998</v>
      </c>
      <c r="AB77">
        <v>20.158000000000001</v>
      </c>
      <c r="AC77">
        <v>18.067</v>
      </c>
      <c r="AD77">
        <v>21.562999999999999</v>
      </c>
      <c r="AE77">
        <v>20.155999999999999</v>
      </c>
      <c r="AF77">
        <v>22.407</v>
      </c>
      <c r="AG77">
        <v>19.504999999999999</v>
      </c>
      <c r="AH77">
        <v>20.879000000000001</v>
      </c>
      <c r="AI77">
        <v>21.501000000000001</v>
      </c>
      <c r="AJ77">
        <v>20.283999999999999</v>
      </c>
      <c r="AK77">
        <v>21.178000000000001</v>
      </c>
      <c r="AL77">
        <v>23.472752</v>
      </c>
      <c r="AM77">
        <v>21.2959</v>
      </c>
      <c r="AN77">
        <v>20.657822211069</v>
      </c>
      <c r="AO77">
        <v>20.755061469306</v>
      </c>
      <c r="AP77">
        <v>23.834589999999999</v>
      </c>
      <c r="AQ77">
        <v>23.885470000000002</v>
      </c>
      <c r="AR77">
        <v>550.63499999999999</v>
      </c>
      <c r="AS77">
        <v>548.09400000000005</v>
      </c>
      <c r="AT77">
        <v>729.53899999999999</v>
      </c>
      <c r="AU77">
        <v>755.89599999999996</v>
      </c>
      <c r="AV77">
        <v>844.64300000000003</v>
      </c>
      <c r="AW77">
        <v>1064.6420000000001</v>
      </c>
      <c r="AX77">
        <v>969.47500000000002</v>
      </c>
      <c r="AY77">
        <v>470.67700000000002</v>
      </c>
      <c r="AZ77">
        <v>571.37099999999998</v>
      </c>
      <c r="BA77">
        <v>343.20400000000001</v>
      </c>
      <c r="BB77">
        <v>1044.08</v>
      </c>
      <c r="BC77">
        <v>809.83199999999999</v>
      </c>
      <c r="BD77">
        <v>539.87599999999998</v>
      </c>
      <c r="BE77">
        <v>1202.8920000000001</v>
      </c>
      <c r="BF77">
        <v>958.81892400000004</v>
      </c>
      <c r="BG77">
        <v>924.09304999999995</v>
      </c>
      <c r="BH77">
        <v>759.22830291858395</v>
      </c>
      <c r="BI77">
        <v>768.455394378547</v>
      </c>
      <c r="BJ77">
        <v>962.87597500000004</v>
      </c>
      <c r="BK77">
        <v>925.02026000000001</v>
      </c>
      <c r="BL77" cm="1">
        <f t="array" ref="BL77">INDEX(R77:W77,0,MATCH($A77,$R$1:$W$1,0))</f>
        <v>0.684151333333333</v>
      </c>
      <c r="BM77" cm="1">
        <f t="array" ref="BM77">INDEX(AL77:AQ77,0,MATCH($A77,$R$1:$W$1,0))</f>
        <v>23.885470000000002</v>
      </c>
      <c r="BN77" cm="1">
        <f t="array" ref="BN77">INDEX(BF77:BK77,0,MATCH($A77,$R$1:$W$1,0))</f>
        <v>925.02026000000001</v>
      </c>
    </row>
    <row r="78" spans="1:66" x14ac:dyDescent="0.35">
      <c r="A78" t="s">
        <v>63</v>
      </c>
      <c r="B78">
        <v>1286855.5</v>
      </c>
      <c r="C78">
        <v>2010</v>
      </c>
      <c r="D78">
        <v>0.53300000000000003</v>
      </c>
      <c r="E78">
        <v>0.56399999999999995</v>
      </c>
      <c r="F78">
        <v>0.623</v>
      </c>
      <c r="G78">
        <v>0.68066666666666598</v>
      </c>
      <c r="H78">
        <v>0.59299999999999997</v>
      </c>
      <c r="I78">
        <v>0.62833333333333297</v>
      </c>
      <c r="J78">
        <v>0.63933333333333298</v>
      </c>
      <c r="K78">
        <v>0.68466666666666598</v>
      </c>
      <c r="L78">
        <v>0.72766666666666602</v>
      </c>
      <c r="M78">
        <v>0.69199999999999995</v>
      </c>
      <c r="N78">
        <v>0.63400000000000001</v>
      </c>
      <c r="O78">
        <v>0.70699999999999996</v>
      </c>
      <c r="P78">
        <v>0.56666666666666599</v>
      </c>
      <c r="Q78">
        <v>0.62866666666666604</v>
      </c>
      <c r="R78">
        <v>0.71825133333333302</v>
      </c>
      <c r="S78">
        <v>0.65713999999999995</v>
      </c>
      <c r="T78">
        <v>0.63047296260633301</v>
      </c>
      <c r="U78">
        <v>0.64156666792600003</v>
      </c>
      <c r="V78">
        <v>0.74164666666666601</v>
      </c>
      <c r="W78">
        <v>0.744041333333333</v>
      </c>
      <c r="X78">
        <v>19.177</v>
      </c>
      <c r="Y78">
        <v>20.532</v>
      </c>
      <c r="Z78">
        <v>20.573</v>
      </c>
      <c r="AA78">
        <v>21.977</v>
      </c>
      <c r="AB78">
        <v>21.036000000000001</v>
      </c>
      <c r="AC78">
        <v>19.672999999999998</v>
      </c>
      <c r="AD78">
        <v>20.074999999999999</v>
      </c>
      <c r="AE78">
        <v>22.023</v>
      </c>
      <c r="AF78">
        <v>23.731999999999999</v>
      </c>
      <c r="AG78">
        <v>22.265000000000001</v>
      </c>
      <c r="AH78">
        <v>20.548999999999999</v>
      </c>
      <c r="AI78">
        <v>22.314</v>
      </c>
      <c r="AJ78">
        <v>19.895</v>
      </c>
      <c r="AK78">
        <v>20.113</v>
      </c>
      <c r="AL78">
        <v>23.517554000000001</v>
      </c>
      <c r="AM78">
        <v>20.720079999999999</v>
      </c>
      <c r="AN78">
        <v>20.958982210559999</v>
      </c>
      <c r="AO78">
        <v>21.088980041726</v>
      </c>
      <c r="AP78">
        <v>23.947179999999999</v>
      </c>
      <c r="AQ78">
        <v>24.271367999999999</v>
      </c>
      <c r="AR78">
        <v>583.63099999999997</v>
      </c>
      <c r="AS78">
        <v>618.06799999999998</v>
      </c>
      <c r="AT78">
        <v>646.15099999999995</v>
      </c>
      <c r="AU78">
        <v>524.83799999999997</v>
      </c>
      <c r="AV78">
        <v>579.80899999999997</v>
      </c>
      <c r="AW78">
        <v>1218.4970000000001</v>
      </c>
      <c r="AX78">
        <v>753.63199999999995</v>
      </c>
      <c r="AY78">
        <v>565.95399999999995</v>
      </c>
      <c r="AZ78">
        <v>555.79399999999998</v>
      </c>
      <c r="BA78">
        <v>482.21800000000002</v>
      </c>
      <c r="BB78">
        <v>888.51300000000003</v>
      </c>
      <c r="BC78">
        <v>669.25900000000001</v>
      </c>
      <c r="BD78">
        <v>588.447</v>
      </c>
      <c r="BE78">
        <v>1046.4290000000001</v>
      </c>
      <c r="BF78">
        <v>809.73165199999903</v>
      </c>
      <c r="BG78">
        <v>748.601529999999</v>
      </c>
      <c r="BH78">
        <v>624.27312956815899</v>
      </c>
      <c r="BI78">
        <v>632.61802154090003</v>
      </c>
      <c r="BJ78">
        <v>862.88669000000004</v>
      </c>
      <c r="BK78">
        <v>769.54919399999903</v>
      </c>
      <c r="BL78" cm="1">
        <f t="array" ref="BL78">INDEX(R78:W78,0,MATCH($A78,$R$1:$W$1,0))</f>
        <v>0.64156666792600003</v>
      </c>
      <c r="BM78" cm="1">
        <f t="array" ref="BM78">INDEX(AL78:AQ78,0,MATCH($A78,$R$1:$W$1,0))</f>
        <v>21.088980041726</v>
      </c>
      <c r="BN78" cm="1">
        <f t="array" ref="BN78">INDEX(BF78:BK78,0,MATCH($A78,$R$1:$W$1,0))</f>
        <v>632.61802154090003</v>
      </c>
    </row>
    <row r="79" spans="1:66" x14ac:dyDescent="0.35">
      <c r="A79" t="s">
        <v>64</v>
      </c>
      <c r="B79">
        <v>186511.03</v>
      </c>
      <c r="C79">
        <v>2010</v>
      </c>
      <c r="D79">
        <v>0.53300000000000003</v>
      </c>
      <c r="E79">
        <v>0.56399999999999995</v>
      </c>
      <c r="F79">
        <v>0.623</v>
      </c>
      <c r="G79">
        <v>0.68066666666666598</v>
      </c>
      <c r="H79">
        <v>0.59299999999999997</v>
      </c>
      <c r="I79">
        <v>0.62833333333333297</v>
      </c>
      <c r="J79">
        <v>0.63933333333333298</v>
      </c>
      <c r="K79">
        <v>0.68466666666666598</v>
      </c>
      <c r="L79">
        <v>0.72766666666666602</v>
      </c>
      <c r="M79">
        <v>0.69199999999999995</v>
      </c>
      <c r="N79">
        <v>0.63400000000000001</v>
      </c>
      <c r="O79">
        <v>0.70699999999999996</v>
      </c>
      <c r="P79">
        <v>0.56666666666666599</v>
      </c>
      <c r="Q79">
        <v>0.62866666666666604</v>
      </c>
      <c r="R79">
        <v>0.71825133333333302</v>
      </c>
      <c r="S79">
        <v>0.65713999999999995</v>
      </c>
      <c r="T79">
        <v>0.63047296260633301</v>
      </c>
      <c r="U79">
        <v>0.64156666792600003</v>
      </c>
      <c r="V79">
        <v>0.74164666666666601</v>
      </c>
      <c r="W79">
        <v>0.744041333333333</v>
      </c>
      <c r="X79">
        <v>19.177</v>
      </c>
      <c r="Y79">
        <v>20.532</v>
      </c>
      <c r="Z79">
        <v>20.573</v>
      </c>
      <c r="AA79">
        <v>21.977</v>
      </c>
      <c r="AB79">
        <v>21.036000000000001</v>
      </c>
      <c r="AC79">
        <v>19.672999999999998</v>
      </c>
      <c r="AD79">
        <v>20.074999999999999</v>
      </c>
      <c r="AE79">
        <v>22.023</v>
      </c>
      <c r="AF79">
        <v>23.731999999999999</v>
      </c>
      <c r="AG79">
        <v>22.265000000000001</v>
      </c>
      <c r="AH79">
        <v>20.548999999999999</v>
      </c>
      <c r="AI79">
        <v>22.314</v>
      </c>
      <c r="AJ79">
        <v>19.895</v>
      </c>
      <c r="AK79">
        <v>20.113</v>
      </c>
      <c r="AL79">
        <v>23.517554000000001</v>
      </c>
      <c r="AM79">
        <v>20.720079999999999</v>
      </c>
      <c r="AN79">
        <v>20.958982210559999</v>
      </c>
      <c r="AO79">
        <v>21.088980041726</v>
      </c>
      <c r="AP79">
        <v>23.947179999999999</v>
      </c>
      <c r="AQ79">
        <v>24.271367999999999</v>
      </c>
      <c r="AR79">
        <v>583.63099999999997</v>
      </c>
      <c r="AS79">
        <v>618.06799999999998</v>
      </c>
      <c r="AT79">
        <v>646.15099999999995</v>
      </c>
      <c r="AU79">
        <v>524.83799999999997</v>
      </c>
      <c r="AV79">
        <v>579.80899999999997</v>
      </c>
      <c r="AW79">
        <v>1218.4970000000001</v>
      </c>
      <c r="AX79">
        <v>753.63199999999995</v>
      </c>
      <c r="AY79">
        <v>565.95399999999995</v>
      </c>
      <c r="AZ79">
        <v>555.79399999999998</v>
      </c>
      <c r="BA79">
        <v>482.21800000000002</v>
      </c>
      <c r="BB79">
        <v>888.51300000000003</v>
      </c>
      <c r="BC79">
        <v>669.25900000000001</v>
      </c>
      <c r="BD79">
        <v>588.447</v>
      </c>
      <c r="BE79">
        <v>1046.4290000000001</v>
      </c>
      <c r="BF79">
        <v>809.73165199999903</v>
      </c>
      <c r="BG79">
        <v>748.601529999999</v>
      </c>
      <c r="BH79">
        <v>624.27312956815899</v>
      </c>
      <c r="BI79">
        <v>632.61802154090003</v>
      </c>
      <c r="BJ79">
        <v>862.88669000000004</v>
      </c>
      <c r="BK79">
        <v>769.54919399999903</v>
      </c>
      <c r="BL79" cm="1">
        <f t="array" ref="BL79">INDEX(R79:W79,0,MATCH($A79,$R$1:$W$1,0))</f>
        <v>0.71825133333333302</v>
      </c>
      <c r="BM79" cm="1">
        <f t="array" ref="BM79">INDEX(AL79:AQ79,0,MATCH($A79,$R$1:$W$1,0))</f>
        <v>23.517554000000001</v>
      </c>
      <c r="BN79" cm="1">
        <f t="array" ref="BN79">INDEX(BF79:BK79,0,MATCH($A79,$R$1:$W$1,0))</f>
        <v>809.73165199999903</v>
      </c>
    </row>
    <row r="80" spans="1:66" x14ac:dyDescent="0.35">
      <c r="A80" t="s">
        <v>65</v>
      </c>
      <c r="B80">
        <v>813295</v>
      </c>
      <c r="C80">
        <v>2010</v>
      </c>
      <c r="D80">
        <v>0.53300000000000003</v>
      </c>
      <c r="E80">
        <v>0.56399999999999995</v>
      </c>
      <c r="F80">
        <v>0.623</v>
      </c>
      <c r="G80">
        <v>0.68066666666666598</v>
      </c>
      <c r="H80">
        <v>0.59299999999999997</v>
      </c>
      <c r="I80">
        <v>0.62833333333333297</v>
      </c>
      <c r="J80">
        <v>0.63933333333333298</v>
      </c>
      <c r="K80">
        <v>0.68466666666666598</v>
      </c>
      <c r="L80">
        <v>0.72766666666666602</v>
      </c>
      <c r="M80">
        <v>0.69199999999999995</v>
      </c>
      <c r="N80">
        <v>0.63400000000000001</v>
      </c>
      <c r="O80">
        <v>0.70699999999999996</v>
      </c>
      <c r="P80">
        <v>0.56666666666666599</v>
      </c>
      <c r="Q80">
        <v>0.62866666666666604</v>
      </c>
      <c r="R80">
        <v>0.71825133333333302</v>
      </c>
      <c r="S80">
        <v>0.65713999999999995</v>
      </c>
      <c r="T80">
        <v>0.63047296260633301</v>
      </c>
      <c r="U80">
        <v>0.64156666792600003</v>
      </c>
      <c r="V80">
        <v>0.74164666666666601</v>
      </c>
      <c r="W80">
        <v>0.744041333333333</v>
      </c>
      <c r="X80">
        <v>19.177</v>
      </c>
      <c r="Y80">
        <v>20.532</v>
      </c>
      <c r="Z80">
        <v>20.573</v>
      </c>
      <c r="AA80">
        <v>21.977</v>
      </c>
      <c r="AB80">
        <v>21.036000000000001</v>
      </c>
      <c r="AC80">
        <v>19.672999999999998</v>
      </c>
      <c r="AD80">
        <v>20.074999999999999</v>
      </c>
      <c r="AE80">
        <v>22.023</v>
      </c>
      <c r="AF80">
        <v>23.731999999999999</v>
      </c>
      <c r="AG80">
        <v>22.265000000000001</v>
      </c>
      <c r="AH80">
        <v>20.548999999999999</v>
      </c>
      <c r="AI80">
        <v>22.314</v>
      </c>
      <c r="AJ80">
        <v>19.895</v>
      </c>
      <c r="AK80">
        <v>20.113</v>
      </c>
      <c r="AL80">
        <v>23.517554000000001</v>
      </c>
      <c r="AM80">
        <v>20.720079999999999</v>
      </c>
      <c r="AN80">
        <v>20.958982210559999</v>
      </c>
      <c r="AO80">
        <v>21.088980041726</v>
      </c>
      <c r="AP80">
        <v>23.947179999999999</v>
      </c>
      <c r="AQ80">
        <v>24.271367999999999</v>
      </c>
      <c r="AR80">
        <v>583.63099999999997</v>
      </c>
      <c r="AS80">
        <v>618.06799999999998</v>
      </c>
      <c r="AT80">
        <v>646.15099999999995</v>
      </c>
      <c r="AU80">
        <v>524.83799999999997</v>
      </c>
      <c r="AV80">
        <v>579.80899999999997</v>
      </c>
      <c r="AW80">
        <v>1218.4970000000001</v>
      </c>
      <c r="AX80">
        <v>753.63199999999995</v>
      </c>
      <c r="AY80">
        <v>565.95399999999995</v>
      </c>
      <c r="AZ80">
        <v>555.79399999999998</v>
      </c>
      <c r="BA80">
        <v>482.21800000000002</v>
      </c>
      <c r="BB80">
        <v>888.51300000000003</v>
      </c>
      <c r="BC80">
        <v>669.25900000000001</v>
      </c>
      <c r="BD80">
        <v>588.447</v>
      </c>
      <c r="BE80">
        <v>1046.4290000000001</v>
      </c>
      <c r="BF80">
        <v>809.73165199999903</v>
      </c>
      <c r="BG80">
        <v>748.601529999999</v>
      </c>
      <c r="BH80">
        <v>624.27312956815899</v>
      </c>
      <c r="BI80">
        <v>632.61802154090003</v>
      </c>
      <c r="BJ80">
        <v>862.88669000000004</v>
      </c>
      <c r="BK80">
        <v>769.54919399999903</v>
      </c>
      <c r="BL80" cm="1">
        <f t="array" ref="BL80">INDEX(R80:W80,0,MATCH($A80,$R$1:$W$1,0))</f>
        <v>0.63047296260633301</v>
      </c>
      <c r="BM80" cm="1">
        <f t="array" ref="BM80">INDEX(AL80:AQ80,0,MATCH($A80,$R$1:$W$1,0))</f>
        <v>20.958982210559999</v>
      </c>
      <c r="BN80" cm="1">
        <f t="array" ref="BN80">INDEX(BF80:BK80,0,MATCH($A80,$R$1:$W$1,0))</f>
        <v>624.27312956815899</v>
      </c>
    </row>
    <row r="81" spans="1:66" x14ac:dyDescent="0.35">
      <c r="A81" t="s">
        <v>66</v>
      </c>
      <c r="B81">
        <v>604043.30000000005</v>
      </c>
      <c r="C81">
        <v>2010</v>
      </c>
      <c r="D81">
        <v>0.53300000000000003</v>
      </c>
      <c r="E81">
        <v>0.56399999999999995</v>
      </c>
      <c r="F81">
        <v>0.623</v>
      </c>
      <c r="G81">
        <v>0.68066666666666598</v>
      </c>
      <c r="H81">
        <v>0.59299999999999997</v>
      </c>
      <c r="I81">
        <v>0.62833333333333297</v>
      </c>
      <c r="J81">
        <v>0.63933333333333298</v>
      </c>
      <c r="K81">
        <v>0.68466666666666598</v>
      </c>
      <c r="L81">
        <v>0.72766666666666602</v>
      </c>
      <c r="M81">
        <v>0.69199999999999995</v>
      </c>
      <c r="N81">
        <v>0.63400000000000001</v>
      </c>
      <c r="O81">
        <v>0.70699999999999996</v>
      </c>
      <c r="P81">
        <v>0.56666666666666599</v>
      </c>
      <c r="Q81">
        <v>0.62866666666666604</v>
      </c>
      <c r="R81">
        <v>0.71825133333333302</v>
      </c>
      <c r="S81">
        <v>0.65713999999999995</v>
      </c>
      <c r="T81">
        <v>0.63047296260633301</v>
      </c>
      <c r="U81">
        <v>0.64156666792600003</v>
      </c>
      <c r="V81">
        <v>0.74164666666666601</v>
      </c>
      <c r="W81">
        <v>0.744041333333333</v>
      </c>
      <c r="X81">
        <v>19.177</v>
      </c>
      <c r="Y81">
        <v>20.532</v>
      </c>
      <c r="Z81">
        <v>20.573</v>
      </c>
      <c r="AA81">
        <v>21.977</v>
      </c>
      <c r="AB81">
        <v>21.036000000000001</v>
      </c>
      <c r="AC81">
        <v>19.672999999999998</v>
      </c>
      <c r="AD81">
        <v>20.074999999999999</v>
      </c>
      <c r="AE81">
        <v>22.023</v>
      </c>
      <c r="AF81">
        <v>23.731999999999999</v>
      </c>
      <c r="AG81">
        <v>22.265000000000001</v>
      </c>
      <c r="AH81">
        <v>20.548999999999999</v>
      </c>
      <c r="AI81">
        <v>22.314</v>
      </c>
      <c r="AJ81">
        <v>19.895</v>
      </c>
      <c r="AK81">
        <v>20.113</v>
      </c>
      <c r="AL81">
        <v>23.517554000000001</v>
      </c>
      <c r="AM81">
        <v>20.720079999999999</v>
      </c>
      <c r="AN81">
        <v>20.958982210559999</v>
      </c>
      <c r="AO81">
        <v>21.088980041726</v>
      </c>
      <c r="AP81">
        <v>23.947179999999999</v>
      </c>
      <c r="AQ81">
        <v>24.271367999999999</v>
      </c>
      <c r="AR81">
        <v>583.63099999999997</v>
      </c>
      <c r="AS81">
        <v>618.06799999999998</v>
      </c>
      <c r="AT81">
        <v>646.15099999999995</v>
      </c>
      <c r="AU81">
        <v>524.83799999999997</v>
      </c>
      <c r="AV81">
        <v>579.80899999999997</v>
      </c>
      <c r="AW81">
        <v>1218.4970000000001</v>
      </c>
      <c r="AX81">
        <v>753.63199999999995</v>
      </c>
      <c r="AY81">
        <v>565.95399999999995</v>
      </c>
      <c r="AZ81">
        <v>555.79399999999998</v>
      </c>
      <c r="BA81">
        <v>482.21800000000002</v>
      </c>
      <c r="BB81">
        <v>888.51300000000003</v>
      </c>
      <c r="BC81">
        <v>669.25900000000001</v>
      </c>
      <c r="BD81">
        <v>588.447</v>
      </c>
      <c r="BE81">
        <v>1046.4290000000001</v>
      </c>
      <c r="BF81">
        <v>809.73165199999903</v>
      </c>
      <c r="BG81">
        <v>748.601529999999</v>
      </c>
      <c r="BH81">
        <v>624.27312956815899</v>
      </c>
      <c r="BI81">
        <v>632.61802154090003</v>
      </c>
      <c r="BJ81">
        <v>862.88669000000004</v>
      </c>
      <c r="BK81">
        <v>769.54919399999903</v>
      </c>
      <c r="BL81" cm="1">
        <f t="array" ref="BL81">INDEX(R81:W81,0,MATCH($A81,$R$1:$W$1,0))</f>
        <v>0.74164666666666601</v>
      </c>
      <c r="BM81" cm="1">
        <f t="array" ref="BM81">INDEX(AL81:AQ81,0,MATCH($A81,$R$1:$W$1,0))</f>
        <v>23.947179999999999</v>
      </c>
      <c r="BN81" cm="1">
        <f t="array" ref="BN81">INDEX(BF81:BK81,0,MATCH($A81,$R$1:$W$1,0))</f>
        <v>862.88669000000004</v>
      </c>
    </row>
    <row r="82" spans="1:66" x14ac:dyDescent="0.35">
      <c r="A82" t="s">
        <v>67</v>
      </c>
      <c r="B82">
        <v>162598.88</v>
      </c>
      <c r="C82">
        <v>2010</v>
      </c>
      <c r="D82">
        <v>0.53300000000000003</v>
      </c>
      <c r="E82">
        <v>0.56399999999999995</v>
      </c>
      <c r="F82">
        <v>0.623</v>
      </c>
      <c r="G82">
        <v>0.68066666666666598</v>
      </c>
      <c r="H82">
        <v>0.59299999999999997</v>
      </c>
      <c r="I82">
        <v>0.62833333333333297</v>
      </c>
      <c r="J82">
        <v>0.63933333333333298</v>
      </c>
      <c r="K82">
        <v>0.68466666666666598</v>
      </c>
      <c r="L82">
        <v>0.72766666666666602</v>
      </c>
      <c r="M82">
        <v>0.69199999999999995</v>
      </c>
      <c r="N82">
        <v>0.63400000000000001</v>
      </c>
      <c r="O82">
        <v>0.70699999999999996</v>
      </c>
      <c r="P82">
        <v>0.56666666666666599</v>
      </c>
      <c r="Q82">
        <v>0.62866666666666604</v>
      </c>
      <c r="R82">
        <v>0.71825133333333302</v>
      </c>
      <c r="S82">
        <v>0.65713999999999995</v>
      </c>
      <c r="T82">
        <v>0.63047296260633301</v>
      </c>
      <c r="U82">
        <v>0.64156666792600003</v>
      </c>
      <c r="V82">
        <v>0.74164666666666601</v>
      </c>
      <c r="W82">
        <v>0.744041333333333</v>
      </c>
      <c r="X82">
        <v>19.177</v>
      </c>
      <c r="Y82">
        <v>20.532</v>
      </c>
      <c r="Z82">
        <v>20.573</v>
      </c>
      <c r="AA82">
        <v>21.977</v>
      </c>
      <c r="AB82">
        <v>21.036000000000001</v>
      </c>
      <c r="AC82">
        <v>19.672999999999998</v>
      </c>
      <c r="AD82">
        <v>20.074999999999999</v>
      </c>
      <c r="AE82">
        <v>22.023</v>
      </c>
      <c r="AF82">
        <v>23.731999999999999</v>
      </c>
      <c r="AG82">
        <v>22.265000000000001</v>
      </c>
      <c r="AH82">
        <v>20.548999999999999</v>
      </c>
      <c r="AI82">
        <v>22.314</v>
      </c>
      <c r="AJ82">
        <v>19.895</v>
      </c>
      <c r="AK82">
        <v>20.113</v>
      </c>
      <c r="AL82">
        <v>23.517554000000001</v>
      </c>
      <c r="AM82">
        <v>20.720079999999999</v>
      </c>
      <c r="AN82">
        <v>20.958982210559999</v>
      </c>
      <c r="AO82">
        <v>21.088980041726</v>
      </c>
      <c r="AP82">
        <v>23.947179999999999</v>
      </c>
      <c r="AQ82">
        <v>24.271367999999999</v>
      </c>
      <c r="AR82">
        <v>583.63099999999997</v>
      </c>
      <c r="AS82">
        <v>618.06799999999998</v>
      </c>
      <c r="AT82">
        <v>646.15099999999995</v>
      </c>
      <c r="AU82">
        <v>524.83799999999997</v>
      </c>
      <c r="AV82">
        <v>579.80899999999997</v>
      </c>
      <c r="AW82">
        <v>1218.4970000000001</v>
      </c>
      <c r="AX82">
        <v>753.63199999999995</v>
      </c>
      <c r="AY82">
        <v>565.95399999999995</v>
      </c>
      <c r="AZ82">
        <v>555.79399999999998</v>
      </c>
      <c r="BA82">
        <v>482.21800000000002</v>
      </c>
      <c r="BB82">
        <v>888.51300000000003</v>
      </c>
      <c r="BC82">
        <v>669.25900000000001</v>
      </c>
      <c r="BD82">
        <v>588.447</v>
      </c>
      <c r="BE82">
        <v>1046.4290000000001</v>
      </c>
      <c r="BF82">
        <v>809.73165199999903</v>
      </c>
      <c r="BG82">
        <v>748.601529999999</v>
      </c>
      <c r="BH82">
        <v>624.27312956815899</v>
      </c>
      <c r="BI82">
        <v>632.61802154090003</v>
      </c>
      <c r="BJ82">
        <v>862.88669000000004</v>
      </c>
      <c r="BK82">
        <v>769.54919399999903</v>
      </c>
      <c r="BL82" cm="1">
        <f t="array" ref="BL82">INDEX(R82:W82,0,MATCH($A82,$R$1:$W$1,0))</f>
        <v>0.744041333333333</v>
      </c>
      <c r="BM82" cm="1">
        <f t="array" ref="BM82">INDEX(AL82:AQ82,0,MATCH($A82,$R$1:$W$1,0))</f>
        <v>24.271367999999999</v>
      </c>
      <c r="BN82" cm="1">
        <f t="array" ref="BN82">INDEX(BF82:BK82,0,MATCH($A82,$R$1:$W$1,0))</f>
        <v>769.54919399999903</v>
      </c>
    </row>
    <row r="83" spans="1:66" x14ac:dyDescent="0.35">
      <c r="A83" t="s">
        <v>63</v>
      </c>
      <c r="B83">
        <v>527528</v>
      </c>
      <c r="C83">
        <v>2011</v>
      </c>
      <c r="D83">
        <v>0.48366666666666602</v>
      </c>
      <c r="E83">
        <v>0.46366666666666601</v>
      </c>
      <c r="F83">
        <v>0.50966666666666605</v>
      </c>
      <c r="G83">
        <v>0.52700000000000002</v>
      </c>
      <c r="H83">
        <v>0.502</v>
      </c>
      <c r="I83">
        <v>0.55133333333333301</v>
      </c>
      <c r="J83">
        <v>0.56399999999999995</v>
      </c>
      <c r="K83">
        <v>0.55500000000000005</v>
      </c>
      <c r="L83">
        <v>0.61</v>
      </c>
      <c r="M83">
        <v>0.55399999999999905</v>
      </c>
      <c r="N83">
        <v>0.627</v>
      </c>
      <c r="O83">
        <v>0.51033333333333297</v>
      </c>
      <c r="P83">
        <v>0.55999999999999905</v>
      </c>
      <c r="Q83">
        <v>0.63100000000000001</v>
      </c>
      <c r="R83">
        <v>0.62260133333333301</v>
      </c>
      <c r="S83">
        <v>0.54798333333333304</v>
      </c>
      <c r="T83">
        <v>0.52732111079666599</v>
      </c>
      <c r="U83">
        <v>0.53431047731066605</v>
      </c>
      <c r="V83">
        <v>0.66368666666666598</v>
      </c>
      <c r="W83">
        <v>0.62216666666666598</v>
      </c>
      <c r="X83">
        <v>17.527000000000001</v>
      </c>
      <c r="Y83">
        <v>19.143000000000001</v>
      </c>
      <c r="Z83">
        <v>19.152000000000001</v>
      </c>
      <c r="AA83">
        <v>21.597999999999999</v>
      </c>
      <c r="AB83">
        <v>19.741</v>
      </c>
      <c r="AC83">
        <v>19.556999999999999</v>
      </c>
      <c r="AD83">
        <v>19.614999999999998</v>
      </c>
      <c r="AE83">
        <v>20.939</v>
      </c>
      <c r="AF83">
        <v>21.974</v>
      </c>
      <c r="AG83">
        <v>20.92</v>
      </c>
      <c r="AH83">
        <v>20.468</v>
      </c>
      <c r="AI83">
        <v>20.273</v>
      </c>
      <c r="AJ83">
        <v>19.045000000000002</v>
      </c>
      <c r="AK83">
        <v>20.388999999999999</v>
      </c>
      <c r="AL83">
        <v>22.510073999999999</v>
      </c>
      <c r="AM83">
        <v>19.88496</v>
      </c>
      <c r="AN83">
        <v>20.018558877737</v>
      </c>
      <c r="AO83">
        <v>20.164054325708001</v>
      </c>
      <c r="AP83">
        <v>23.251415000000001</v>
      </c>
      <c r="AQ83">
        <v>23.267745999999999</v>
      </c>
      <c r="AR83">
        <v>329.49400000000003</v>
      </c>
      <c r="AS83">
        <v>421.35500000000002</v>
      </c>
      <c r="AT83">
        <v>420.93599999999998</v>
      </c>
      <c r="AU83">
        <v>441.91</v>
      </c>
      <c r="AV83">
        <v>420.13900000000001</v>
      </c>
      <c r="AW83">
        <v>1062.9639999999999</v>
      </c>
      <c r="AX83">
        <v>580.23299999999995</v>
      </c>
      <c r="AY83">
        <v>351.79300000000001</v>
      </c>
      <c r="AZ83">
        <v>376.59300000000002</v>
      </c>
      <c r="BA83">
        <v>245.47499999999999</v>
      </c>
      <c r="BB83">
        <v>727.99199999999996</v>
      </c>
      <c r="BC83">
        <v>494.89800000000002</v>
      </c>
      <c r="BD83">
        <v>348.56799999999998</v>
      </c>
      <c r="BE83">
        <v>830.20299999999997</v>
      </c>
      <c r="BF83">
        <v>606.85418000000004</v>
      </c>
      <c r="BG83">
        <v>580.82361000000003</v>
      </c>
      <c r="BH83">
        <v>457.11264968391799</v>
      </c>
      <c r="BI83">
        <v>463.55245256973598</v>
      </c>
      <c r="BJ83">
        <v>642.21414000000004</v>
      </c>
      <c r="BK83">
        <v>584.86417599999902</v>
      </c>
      <c r="BL83" cm="1">
        <f t="array" ref="BL83">INDEX(R83:W83,0,MATCH($A83,$R$1:$W$1,0))</f>
        <v>0.53431047731066605</v>
      </c>
      <c r="BM83" cm="1">
        <f t="array" ref="BM83">INDEX(AL83:AQ83,0,MATCH($A83,$R$1:$W$1,0))</f>
        <v>20.164054325708001</v>
      </c>
      <c r="BN83" cm="1">
        <f t="array" ref="BN83">INDEX(BF83:BK83,0,MATCH($A83,$R$1:$W$1,0))</f>
        <v>463.55245256973598</v>
      </c>
    </row>
    <row r="84" spans="1:66" x14ac:dyDescent="0.35">
      <c r="A84" t="s">
        <v>64</v>
      </c>
      <c r="B84">
        <v>124092</v>
      </c>
      <c r="C84">
        <v>2011</v>
      </c>
      <c r="D84">
        <v>0.48366666666666602</v>
      </c>
      <c r="E84">
        <v>0.46366666666666601</v>
      </c>
      <c r="F84">
        <v>0.50966666666666605</v>
      </c>
      <c r="G84">
        <v>0.52700000000000002</v>
      </c>
      <c r="H84">
        <v>0.502</v>
      </c>
      <c r="I84">
        <v>0.55133333333333301</v>
      </c>
      <c r="J84">
        <v>0.56399999999999995</v>
      </c>
      <c r="K84">
        <v>0.55500000000000005</v>
      </c>
      <c r="L84">
        <v>0.61</v>
      </c>
      <c r="M84">
        <v>0.55399999999999905</v>
      </c>
      <c r="N84">
        <v>0.627</v>
      </c>
      <c r="O84">
        <v>0.51033333333333297</v>
      </c>
      <c r="P84">
        <v>0.55999999999999905</v>
      </c>
      <c r="Q84">
        <v>0.63100000000000001</v>
      </c>
      <c r="R84">
        <v>0.62260133333333301</v>
      </c>
      <c r="S84">
        <v>0.54798333333333304</v>
      </c>
      <c r="T84">
        <v>0.52732111079666599</v>
      </c>
      <c r="U84">
        <v>0.53431047731066605</v>
      </c>
      <c r="V84">
        <v>0.66368666666666598</v>
      </c>
      <c r="W84">
        <v>0.62216666666666598</v>
      </c>
      <c r="X84">
        <v>17.527000000000001</v>
      </c>
      <c r="Y84">
        <v>19.143000000000001</v>
      </c>
      <c r="Z84">
        <v>19.152000000000001</v>
      </c>
      <c r="AA84">
        <v>21.597999999999999</v>
      </c>
      <c r="AB84">
        <v>19.741</v>
      </c>
      <c r="AC84">
        <v>19.556999999999999</v>
      </c>
      <c r="AD84">
        <v>19.614999999999998</v>
      </c>
      <c r="AE84">
        <v>20.939</v>
      </c>
      <c r="AF84">
        <v>21.974</v>
      </c>
      <c r="AG84">
        <v>20.92</v>
      </c>
      <c r="AH84">
        <v>20.468</v>
      </c>
      <c r="AI84">
        <v>20.273</v>
      </c>
      <c r="AJ84">
        <v>19.045000000000002</v>
      </c>
      <c r="AK84">
        <v>20.388999999999999</v>
      </c>
      <c r="AL84">
        <v>22.510073999999999</v>
      </c>
      <c r="AM84">
        <v>19.88496</v>
      </c>
      <c r="AN84">
        <v>20.018558877737</v>
      </c>
      <c r="AO84">
        <v>20.164054325708001</v>
      </c>
      <c r="AP84">
        <v>23.251415000000001</v>
      </c>
      <c r="AQ84">
        <v>23.267745999999999</v>
      </c>
      <c r="AR84">
        <v>329.49400000000003</v>
      </c>
      <c r="AS84">
        <v>421.35500000000002</v>
      </c>
      <c r="AT84">
        <v>420.93599999999998</v>
      </c>
      <c r="AU84">
        <v>441.91</v>
      </c>
      <c r="AV84">
        <v>420.13900000000001</v>
      </c>
      <c r="AW84">
        <v>1062.9639999999999</v>
      </c>
      <c r="AX84">
        <v>580.23299999999995</v>
      </c>
      <c r="AY84">
        <v>351.79300000000001</v>
      </c>
      <c r="AZ84">
        <v>376.59300000000002</v>
      </c>
      <c r="BA84">
        <v>245.47499999999999</v>
      </c>
      <c r="BB84">
        <v>727.99199999999996</v>
      </c>
      <c r="BC84">
        <v>494.89800000000002</v>
      </c>
      <c r="BD84">
        <v>348.56799999999998</v>
      </c>
      <c r="BE84">
        <v>830.20299999999997</v>
      </c>
      <c r="BF84">
        <v>606.85418000000004</v>
      </c>
      <c r="BG84">
        <v>580.82361000000003</v>
      </c>
      <c r="BH84">
        <v>457.11264968391799</v>
      </c>
      <c r="BI84">
        <v>463.55245256973598</v>
      </c>
      <c r="BJ84">
        <v>642.21414000000004</v>
      </c>
      <c r="BK84">
        <v>584.86417599999902</v>
      </c>
      <c r="BL84" cm="1">
        <f t="array" ref="BL84">INDEX(R84:W84,0,MATCH($A84,$R$1:$W$1,0))</f>
        <v>0.62260133333333301</v>
      </c>
      <c r="BM84" cm="1">
        <f t="array" ref="BM84">INDEX(AL84:AQ84,0,MATCH($A84,$R$1:$W$1,0))</f>
        <v>22.510073999999999</v>
      </c>
      <c r="BN84" cm="1">
        <f t="array" ref="BN84">INDEX(BF84:BK84,0,MATCH($A84,$R$1:$W$1,0))</f>
        <v>606.85418000000004</v>
      </c>
    </row>
    <row r="85" spans="1:66" x14ac:dyDescent="0.35">
      <c r="A85" t="s">
        <v>65</v>
      </c>
      <c r="B85">
        <v>480759</v>
      </c>
      <c r="C85">
        <v>2011</v>
      </c>
      <c r="D85">
        <v>0.48366666666666602</v>
      </c>
      <c r="E85">
        <v>0.46366666666666601</v>
      </c>
      <c r="F85">
        <v>0.50966666666666605</v>
      </c>
      <c r="G85">
        <v>0.52700000000000002</v>
      </c>
      <c r="H85">
        <v>0.502</v>
      </c>
      <c r="I85">
        <v>0.55133333333333301</v>
      </c>
      <c r="J85">
        <v>0.56399999999999995</v>
      </c>
      <c r="K85">
        <v>0.55500000000000005</v>
      </c>
      <c r="L85">
        <v>0.61</v>
      </c>
      <c r="M85">
        <v>0.55399999999999905</v>
      </c>
      <c r="N85">
        <v>0.627</v>
      </c>
      <c r="O85">
        <v>0.51033333333333297</v>
      </c>
      <c r="P85">
        <v>0.55999999999999905</v>
      </c>
      <c r="Q85">
        <v>0.63100000000000001</v>
      </c>
      <c r="R85">
        <v>0.62260133333333301</v>
      </c>
      <c r="S85">
        <v>0.54798333333333304</v>
      </c>
      <c r="T85">
        <v>0.52732111079666599</v>
      </c>
      <c r="U85">
        <v>0.53431047731066605</v>
      </c>
      <c r="V85">
        <v>0.66368666666666598</v>
      </c>
      <c r="W85">
        <v>0.62216666666666598</v>
      </c>
      <c r="X85">
        <v>17.527000000000001</v>
      </c>
      <c r="Y85">
        <v>19.143000000000001</v>
      </c>
      <c r="Z85">
        <v>19.152000000000001</v>
      </c>
      <c r="AA85">
        <v>21.597999999999999</v>
      </c>
      <c r="AB85">
        <v>19.741</v>
      </c>
      <c r="AC85">
        <v>19.556999999999999</v>
      </c>
      <c r="AD85">
        <v>19.614999999999998</v>
      </c>
      <c r="AE85">
        <v>20.939</v>
      </c>
      <c r="AF85">
        <v>21.974</v>
      </c>
      <c r="AG85">
        <v>20.92</v>
      </c>
      <c r="AH85">
        <v>20.468</v>
      </c>
      <c r="AI85">
        <v>20.273</v>
      </c>
      <c r="AJ85">
        <v>19.045000000000002</v>
      </c>
      <c r="AK85">
        <v>20.388999999999999</v>
      </c>
      <c r="AL85">
        <v>22.510073999999999</v>
      </c>
      <c r="AM85">
        <v>19.88496</v>
      </c>
      <c r="AN85">
        <v>20.018558877737</v>
      </c>
      <c r="AO85">
        <v>20.164054325708001</v>
      </c>
      <c r="AP85">
        <v>23.251415000000001</v>
      </c>
      <c r="AQ85">
        <v>23.267745999999999</v>
      </c>
      <c r="AR85">
        <v>329.49400000000003</v>
      </c>
      <c r="AS85">
        <v>421.35500000000002</v>
      </c>
      <c r="AT85">
        <v>420.93599999999998</v>
      </c>
      <c r="AU85">
        <v>441.91</v>
      </c>
      <c r="AV85">
        <v>420.13900000000001</v>
      </c>
      <c r="AW85">
        <v>1062.9639999999999</v>
      </c>
      <c r="AX85">
        <v>580.23299999999995</v>
      </c>
      <c r="AY85">
        <v>351.79300000000001</v>
      </c>
      <c r="AZ85">
        <v>376.59300000000002</v>
      </c>
      <c r="BA85">
        <v>245.47499999999999</v>
      </c>
      <c r="BB85">
        <v>727.99199999999996</v>
      </c>
      <c r="BC85">
        <v>494.89800000000002</v>
      </c>
      <c r="BD85">
        <v>348.56799999999998</v>
      </c>
      <c r="BE85">
        <v>830.20299999999997</v>
      </c>
      <c r="BF85">
        <v>606.85418000000004</v>
      </c>
      <c r="BG85">
        <v>580.82361000000003</v>
      </c>
      <c r="BH85">
        <v>457.11264968391799</v>
      </c>
      <c r="BI85">
        <v>463.55245256973598</v>
      </c>
      <c r="BJ85">
        <v>642.21414000000004</v>
      </c>
      <c r="BK85">
        <v>584.86417599999902</v>
      </c>
      <c r="BL85" cm="1">
        <f t="array" ref="BL85">INDEX(R85:W85,0,MATCH($A85,$R$1:$W$1,0))</f>
        <v>0.52732111079666599</v>
      </c>
      <c r="BM85" cm="1">
        <f t="array" ref="BM85">INDEX(AL85:AQ85,0,MATCH($A85,$R$1:$W$1,0))</f>
        <v>20.018558877737</v>
      </c>
      <c r="BN85" cm="1">
        <f t="array" ref="BN85">INDEX(BF85:BK85,0,MATCH($A85,$R$1:$W$1,0))</f>
        <v>457.11264968391799</v>
      </c>
    </row>
    <row r="86" spans="1:66" x14ac:dyDescent="0.35">
      <c r="A86" t="s">
        <v>66</v>
      </c>
      <c r="B86">
        <v>405824</v>
      </c>
      <c r="C86">
        <v>2011</v>
      </c>
      <c r="D86">
        <v>0.48366666666666602</v>
      </c>
      <c r="E86">
        <v>0.46366666666666601</v>
      </c>
      <c r="F86">
        <v>0.50966666666666605</v>
      </c>
      <c r="G86">
        <v>0.52700000000000002</v>
      </c>
      <c r="H86">
        <v>0.502</v>
      </c>
      <c r="I86">
        <v>0.55133333333333301</v>
      </c>
      <c r="J86">
        <v>0.56399999999999995</v>
      </c>
      <c r="K86">
        <v>0.55500000000000005</v>
      </c>
      <c r="L86">
        <v>0.61</v>
      </c>
      <c r="M86">
        <v>0.55399999999999905</v>
      </c>
      <c r="N86">
        <v>0.627</v>
      </c>
      <c r="O86">
        <v>0.51033333333333297</v>
      </c>
      <c r="P86">
        <v>0.55999999999999905</v>
      </c>
      <c r="Q86">
        <v>0.63100000000000001</v>
      </c>
      <c r="R86">
        <v>0.62260133333333301</v>
      </c>
      <c r="S86">
        <v>0.54798333333333304</v>
      </c>
      <c r="T86">
        <v>0.52732111079666599</v>
      </c>
      <c r="U86">
        <v>0.53431047731066605</v>
      </c>
      <c r="V86">
        <v>0.66368666666666598</v>
      </c>
      <c r="W86">
        <v>0.62216666666666598</v>
      </c>
      <c r="X86">
        <v>17.527000000000001</v>
      </c>
      <c r="Y86">
        <v>19.143000000000001</v>
      </c>
      <c r="Z86">
        <v>19.152000000000001</v>
      </c>
      <c r="AA86">
        <v>21.597999999999999</v>
      </c>
      <c r="AB86">
        <v>19.741</v>
      </c>
      <c r="AC86">
        <v>19.556999999999999</v>
      </c>
      <c r="AD86">
        <v>19.614999999999998</v>
      </c>
      <c r="AE86">
        <v>20.939</v>
      </c>
      <c r="AF86">
        <v>21.974</v>
      </c>
      <c r="AG86">
        <v>20.92</v>
      </c>
      <c r="AH86">
        <v>20.468</v>
      </c>
      <c r="AI86">
        <v>20.273</v>
      </c>
      <c r="AJ86">
        <v>19.045000000000002</v>
      </c>
      <c r="AK86">
        <v>20.388999999999999</v>
      </c>
      <c r="AL86">
        <v>22.510073999999999</v>
      </c>
      <c r="AM86">
        <v>19.88496</v>
      </c>
      <c r="AN86">
        <v>20.018558877737</v>
      </c>
      <c r="AO86">
        <v>20.164054325708001</v>
      </c>
      <c r="AP86">
        <v>23.251415000000001</v>
      </c>
      <c r="AQ86">
        <v>23.267745999999999</v>
      </c>
      <c r="AR86">
        <v>329.49400000000003</v>
      </c>
      <c r="AS86">
        <v>421.35500000000002</v>
      </c>
      <c r="AT86">
        <v>420.93599999999998</v>
      </c>
      <c r="AU86">
        <v>441.91</v>
      </c>
      <c r="AV86">
        <v>420.13900000000001</v>
      </c>
      <c r="AW86">
        <v>1062.9639999999999</v>
      </c>
      <c r="AX86">
        <v>580.23299999999995</v>
      </c>
      <c r="AY86">
        <v>351.79300000000001</v>
      </c>
      <c r="AZ86">
        <v>376.59300000000002</v>
      </c>
      <c r="BA86">
        <v>245.47499999999999</v>
      </c>
      <c r="BB86">
        <v>727.99199999999996</v>
      </c>
      <c r="BC86">
        <v>494.89800000000002</v>
      </c>
      <c r="BD86">
        <v>348.56799999999998</v>
      </c>
      <c r="BE86">
        <v>830.20299999999997</v>
      </c>
      <c r="BF86">
        <v>606.85418000000004</v>
      </c>
      <c r="BG86">
        <v>580.82361000000003</v>
      </c>
      <c r="BH86">
        <v>457.11264968391799</v>
      </c>
      <c r="BI86">
        <v>463.55245256973598</v>
      </c>
      <c r="BJ86">
        <v>642.21414000000004</v>
      </c>
      <c r="BK86">
        <v>584.86417599999902</v>
      </c>
      <c r="BL86" cm="1">
        <f t="array" ref="BL86">INDEX(R86:W86,0,MATCH($A86,$R$1:$W$1,0))</f>
        <v>0.66368666666666598</v>
      </c>
      <c r="BM86" cm="1">
        <f t="array" ref="BM86">INDEX(AL86:AQ86,0,MATCH($A86,$R$1:$W$1,0))</f>
        <v>23.251415000000001</v>
      </c>
      <c r="BN86" cm="1">
        <f t="array" ref="BN86">INDEX(BF86:BK86,0,MATCH($A86,$R$1:$W$1,0))</f>
        <v>642.21414000000004</v>
      </c>
    </row>
    <row r="87" spans="1:66" x14ac:dyDescent="0.35">
      <c r="A87" t="s">
        <v>67</v>
      </c>
      <c r="B87">
        <v>86865</v>
      </c>
      <c r="C87">
        <v>2011</v>
      </c>
      <c r="D87">
        <v>0.48366666666666602</v>
      </c>
      <c r="E87">
        <v>0.46366666666666601</v>
      </c>
      <c r="F87">
        <v>0.50966666666666605</v>
      </c>
      <c r="G87">
        <v>0.52700000000000002</v>
      </c>
      <c r="H87">
        <v>0.502</v>
      </c>
      <c r="I87">
        <v>0.55133333333333301</v>
      </c>
      <c r="J87">
        <v>0.56399999999999995</v>
      </c>
      <c r="K87">
        <v>0.55500000000000005</v>
      </c>
      <c r="L87">
        <v>0.61</v>
      </c>
      <c r="M87">
        <v>0.55399999999999905</v>
      </c>
      <c r="N87">
        <v>0.627</v>
      </c>
      <c r="O87">
        <v>0.51033333333333297</v>
      </c>
      <c r="P87">
        <v>0.55999999999999905</v>
      </c>
      <c r="Q87">
        <v>0.63100000000000001</v>
      </c>
      <c r="R87">
        <v>0.62260133333333301</v>
      </c>
      <c r="S87">
        <v>0.54798333333333304</v>
      </c>
      <c r="T87">
        <v>0.52732111079666599</v>
      </c>
      <c r="U87">
        <v>0.53431047731066605</v>
      </c>
      <c r="V87">
        <v>0.66368666666666598</v>
      </c>
      <c r="W87">
        <v>0.62216666666666598</v>
      </c>
      <c r="X87">
        <v>17.527000000000001</v>
      </c>
      <c r="Y87">
        <v>19.143000000000001</v>
      </c>
      <c r="Z87">
        <v>19.152000000000001</v>
      </c>
      <c r="AA87">
        <v>21.597999999999999</v>
      </c>
      <c r="AB87">
        <v>19.741</v>
      </c>
      <c r="AC87">
        <v>19.556999999999999</v>
      </c>
      <c r="AD87">
        <v>19.614999999999998</v>
      </c>
      <c r="AE87">
        <v>20.939</v>
      </c>
      <c r="AF87">
        <v>21.974</v>
      </c>
      <c r="AG87">
        <v>20.92</v>
      </c>
      <c r="AH87">
        <v>20.468</v>
      </c>
      <c r="AI87">
        <v>20.273</v>
      </c>
      <c r="AJ87">
        <v>19.045000000000002</v>
      </c>
      <c r="AK87">
        <v>20.388999999999999</v>
      </c>
      <c r="AL87">
        <v>22.510073999999999</v>
      </c>
      <c r="AM87">
        <v>19.88496</v>
      </c>
      <c r="AN87">
        <v>20.018558877737</v>
      </c>
      <c r="AO87">
        <v>20.164054325708001</v>
      </c>
      <c r="AP87">
        <v>23.251415000000001</v>
      </c>
      <c r="AQ87">
        <v>23.267745999999999</v>
      </c>
      <c r="AR87">
        <v>329.49400000000003</v>
      </c>
      <c r="AS87">
        <v>421.35500000000002</v>
      </c>
      <c r="AT87">
        <v>420.93599999999998</v>
      </c>
      <c r="AU87">
        <v>441.91</v>
      </c>
      <c r="AV87">
        <v>420.13900000000001</v>
      </c>
      <c r="AW87">
        <v>1062.9639999999999</v>
      </c>
      <c r="AX87">
        <v>580.23299999999995</v>
      </c>
      <c r="AY87">
        <v>351.79300000000001</v>
      </c>
      <c r="AZ87">
        <v>376.59300000000002</v>
      </c>
      <c r="BA87">
        <v>245.47499999999999</v>
      </c>
      <c r="BB87">
        <v>727.99199999999996</v>
      </c>
      <c r="BC87">
        <v>494.89800000000002</v>
      </c>
      <c r="BD87">
        <v>348.56799999999998</v>
      </c>
      <c r="BE87">
        <v>830.20299999999997</v>
      </c>
      <c r="BF87">
        <v>606.85418000000004</v>
      </c>
      <c r="BG87">
        <v>580.82361000000003</v>
      </c>
      <c r="BH87">
        <v>457.11264968391799</v>
      </c>
      <c r="BI87">
        <v>463.55245256973598</v>
      </c>
      <c r="BJ87">
        <v>642.21414000000004</v>
      </c>
      <c r="BK87">
        <v>584.86417599999902</v>
      </c>
      <c r="BL87" cm="1">
        <f t="array" ref="BL87">INDEX(R87:W87,0,MATCH($A87,$R$1:$W$1,0))</f>
        <v>0.62216666666666598</v>
      </c>
      <c r="BM87" cm="1">
        <f t="array" ref="BM87">INDEX(AL87:AQ87,0,MATCH($A87,$R$1:$W$1,0))</f>
        <v>23.267745999999999</v>
      </c>
      <c r="BN87" cm="1">
        <f t="array" ref="BN87">INDEX(BF87:BK87,0,MATCH($A87,$R$1:$W$1,0))</f>
        <v>584.86417599999902</v>
      </c>
    </row>
    <row r="88" spans="1:66" x14ac:dyDescent="0.35">
      <c r="A88" t="s">
        <v>63</v>
      </c>
      <c r="B88">
        <v>692572</v>
      </c>
      <c r="C88">
        <v>2012</v>
      </c>
      <c r="D88">
        <v>0.52700000000000002</v>
      </c>
      <c r="E88">
        <v>0.54</v>
      </c>
      <c r="F88">
        <v>0.55966666666666598</v>
      </c>
      <c r="G88">
        <v>0.57133333333333303</v>
      </c>
      <c r="H88">
        <v>0.53233333333333299</v>
      </c>
      <c r="I88">
        <v>0.70833333333333304</v>
      </c>
      <c r="J88">
        <v>0.64700000000000002</v>
      </c>
      <c r="K88">
        <v>0.52166666666666595</v>
      </c>
      <c r="L88">
        <v>0.67499999999999905</v>
      </c>
      <c r="M88">
        <v>0.56399999999999995</v>
      </c>
      <c r="N88">
        <v>0.61833333333333296</v>
      </c>
      <c r="O88">
        <v>0.67533333333333301</v>
      </c>
      <c r="P88">
        <v>0.51733333333333298</v>
      </c>
      <c r="Q88">
        <v>0.61866666666666603</v>
      </c>
      <c r="R88">
        <v>0.68184999999999996</v>
      </c>
      <c r="S88">
        <v>0.65254666666666605</v>
      </c>
      <c r="T88">
        <v>0.56777333298966604</v>
      </c>
      <c r="U88">
        <v>0.58031666788133296</v>
      </c>
      <c r="V88">
        <v>0.69803999999999999</v>
      </c>
      <c r="W88">
        <v>0.68768333333333298</v>
      </c>
      <c r="X88">
        <v>18.402000000000001</v>
      </c>
      <c r="Y88">
        <v>19.523</v>
      </c>
      <c r="Z88">
        <v>18.850999999999999</v>
      </c>
      <c r="AA88">
        <v>20.071999999999999</v>
      </c>
      <c r="AB88">
        <v>18.803999999999998</v>
      </c>
      <c r="AC88">
        <v>19.702999999999999</v>
      </c>
      <c r="AD88">
        <v>17.533999999999999</v>
      </c>
      <c r="AE88">
        <v>20.355</v>
      </c>
      <c r="AF88">
        <v>22.684000000000001</v>
      </c>
      <c r="AG88">
        <v>20.713999999999999</v>
      </c>
      <c r="AH88">
        <v>18.884</v>
      </c>
      <c r="AI88">
        <v>20.504000000000001</v>
      </c>
      <c r="AJ88">
        <v>19.045000000000002</v>
      </c>
      <c r="AK88">
        <v>18.831</v>
      </c>
      <c r="AL88">
        <v>21.471588000000001</v>
      </c>
      <c r="AM88">
        <v>18.559740000000001</v>
      </c>
      <c r="AN88">
        <v>19.181502211074001</v>
      </c>
      <c r="AO88">
        <v>19.244895753925999</v>
      </c>
      <c r="AP88">
        <v>21.973794999999999</v>
      </c>
      <c r="AQ88">
        <v>22.269748</v>
      </c>
      <c r="AR88">
        <v>597.98500000000001</v>
      </c>
      <c r="AS88">
        <v>620.28599999999994</v>
      </c>
      <c r="AT88">
        <v>636.14599999999996</v>
      </c>
      <c r="AU88">
        <v>459.79700000000003</v>
      </c>
      <c r="AV88">
        <v>542.88699999999994</v>
      </c>
      <c r="AW88">
        <v>1177.2270000000001</v>
      </c>
      <c r="AX88">
        <v>723.48099999999999</v>
      </c>
      <c r="AY88">
        <v>491.28300000000002</v>
      </c>
      <c r="AZ88">
        <v>511.86</v>
      </c>
      <c r="BA88">
        <v>341.61399999999998</v>
      </c>
      <c r="BB88">
        <v>949.58299999999997</v>
      </c>
      <c r="BC88">
        <v>577.67600000000004</v>
      </c>
      <c r="BD88">
        <v>626.34500000000003</v>
      </c>
      <c r="BE88">
        <v>1136.6959999999999</v>
      </c>
      <c r="BF88">
        <v>789.44124599999998</v>
      </c>
      <c r="BG88">
        <v>701.52538999999899</v>
      </c>
      <c r="BH88">
        <v>597.902717359402</v>
      </c>
      <c r="BI88">
        <v>595.70291009578602</v>
      </c>
      <c r="BJ88">
        <v>845.79935999999998</v>
      </c>
      <c r="BK88">
        <v>730.45756200000005</v>
      </c>
      <c r="BL88" cm="1">
        <f t="array" ref="BL88">INDEX(R88:W88,0,MATCH($A88,$R$1:$W$1,0))</f>
        <v>0.58031666788133296</v>
      </c>
      <c r="BM88" cm="1">
        <f t="array" ref="BM88">INDEX(AL88:AQ88,0,MATCH($A88,$R$1:$W$1,0))</f>
        <v>19.244895753925999</v>
      </c>
      <c r="BN88" cm="1">
        <f t="array" ref="BN88">INDEX(BF88:BK88,0,MATCH($A88,$R$1:$W$1,0))</f>
        <v>595.70291009578602</v>
      </c>
    </row>
    <row r="89" spans="1:66" x14ac:dyDescent="0.35">
      <c r="A89" t="s">
        <v>64</v>
      </c>
      <c r="B89">
        <v>228422.65</v>
      </c>
      <c r="C89">
        <v>2012</v>
      </c>
      <c r="D89">
        <v>0.52700000000000002</v>
      </c>
      <c r="E89">
        <v>0.54</v>
      </c>
      <c r="F89">
        <v>0.55966666666666598</v>
      </c>
      <c r="G89">
        <v>0.57133333333333303</v>
      </c>
      <c r="H89">
        <v>0.53233333333333299</v>
      </c>
      <c r="I89">
        <v>0.70833333333333304</v>
      </c>
      <c r="J89">
        <v>0.64700000000000002</v>
      </c>
      <c r="K89">
        <v>0.52166666666666595</v>
      </c>
      <c r="L89">
        <v>0.67499999999999905</v>
      </c>
      <c r="M89">
        <v>0.56399999999999995</v>
      </c>
      <c r="N89">
        <v>0.61833333333333296</v>
      </c>
      <c r="O89">
        <v>0.67533333333333301</v>
      </c>
      <c r="P89">
        <v>0.51733333333333298</v>
      </c>
      <c r="Q89">
        <v>0.61866666666666603</v>
      </c>
      <c r="R89">
        <v>0.68184999999999996</v>
      </c>
      <c r="S89">
        <v>0.65254666666666605</v>
      </c>
      <c r="T89">
        <v>0.56777333298966604</v>
      </c>
      <c r="U89">
        <v>0.58031666788133296</v>
      </c>
      <c r="V89">
        <v>0.69803999999999999</v>
      </c>
      <c r="W89">
        <v>0.68768333333333298</v>
      </c>
      <c r="X89">
        <v>18.402000000000001</v>
      </c>
      <c r="Y89">
        <v>19.523</v>
      </c>
      <c r="Z89">
        <v>18.850999999999999</v>
      </c>
      <c r="AA89">
        <v>20.071999999999999</v>
      </c>
      <c r="AB89">
        <v>18.803999999999998</v>
      </c>
      <c r="AC89">
        <v>19.702999999999999</v>
      </c>
      <c r="AD89">
        <v>17.533999999999999</v>
      </c>
      <c r="AE89">
        <v>20.355</v>
      </c>
      <c r="AF89">
        <v>22.684000000000001</v>
      </c>
      <c r="AG89">
        <v>20.713999999999999</v>
      </c>
      <c r="AH89">
        <v>18.884</v>
      </c>
      <c r="AI89">
        <v>20.504000000000001</v>
      </c>
      <c r="AJ89">
        <v>19.045000000000002</v>
      </c>
      <c r="AK89">
        <v>18.831</v>
      </c>
      <c r="AL89">
        <v>21.471588000000001</v>
      </c>
      <c r="AM89">
        <v>18.559740000000001</v>
      </c>
      <c r="AN89">
        <v>19.181502211074001</v>
      </c>
      <c r="AO89">
        <v>19.244895753925999</v>
      </c>
      <c r="AP89">
        <v>21.973794999999999</v>
      </c>
      <c r="AQ89">
        <v>22.269748</v>
      </c>
      <c r="AR89">
        <v>597.98500000000001</v>
      </c>
      <c r="AS89">
        <v>620.28599999999994</v>
      </c>
      <c r="AT89">
        <v>636.14599999999996</v>
      </c>
      <c r="AU89">
        <v>459.79700000000003</v>
      </c>
      <c r="AV89">
        <v>542.88699999999994</v>
      </c>
      <c r="AW89">
        <v>1177.2270000000001</v>
      </c>
      <c r="AX89">
        <v>723.48099999999999</v>
      </c>
      <c r="AY89">
        <v>491.28300000000002</v>
      </c>
      <c r="AZ89">
        <v>511.86</v>
      </c>
      <c r="BA89">
        <v>341.61399999999998</v>
      </c>
      <c r="BB89">
        <v>949.58299999999997</v>
      </c>
      <c r="BC89">
        <v>577.67600000000004</v>
      </c>
      <c r="BD89">
        <v>626.34500000000003</v>
      </c>
      <c r="BE89">
        <v>1136.6959999999999</v>
      </c>
      <c r="BF89">
        <v>789.44124599999998</v>
      </c>
      <c r="BG89">
        <v>701.52538999999899</v>
      </c>
      <c r="BH89">
        <v>597.902717359402</v>
      </c>
      <c r="BI89">
        <v>595.70291009578602</v>
      </c>
      <c r="BJ89">
        <v>845.79935999999998</v>
      </c>
      <c r="BK89">
        <v>730.45756200000005</v>
      </c>
      <c r="BL89" cm="1">
        <f t="array" ref="BL89">INDEX(R89:W89,0,MATCH($A89,$R$1:$W$1,0))</f>
        <v>0.68184999999999996</v>
      </c>
      <c r="BM89" cm="1">
        <f t="array" ref="BM89">INDEX(AL89:AQ89,0,MATCH($A89,$R$1:$W$1,0))</f>
        <v>21.471588000000001</v>
      </c>
      <c r="BN89" cm="1">
        <f t="array" ref="BN89">INDEX(BF89:BK89,0,MATCH($A89,$R$1:$W$1,0))</f>
        <v>789.44124599999998</v>
      </c>
    </row>
    <row r="90" spans="1:66" x14ac:dyDescent="0.35">
      <c r="A90" t="s">
        <v>65</v>
      </c>
      <c r="B90">
        <v>662614</v>
      </c>
      <c r="C90">
        <v>2012</v>
      </c>
      <c r="D90">
        <v>0.52700000000000002</v>
      </c>
      <c r="E90">
        <v>0.54</v>
      </c>
      <c r="F90">
        <v>0.55966666666666598</v>
      </c>
      <c r="G90">
        <v>0.57133333333333303</v>
      </c>
      <c r="H90">
        <v>0.53233333333333299</v>
      </c>
      <c r="I90">
        <v>0.70833333333333304</v>
      </c>
      <c r="J90">
        <v>0.64700000000000002</v>
      </c>
      <c r="K90">
        <v>0.52166666666666595</v>
      </c>
      <c r="L90">
        <v>0.67499999999999905</v>
      </c>
      <c r="M90">
        <v>0.56399999999999995</v>
      </c>
      <c r="N90">
        <v>0.61833333333333296</v>
      </c>
      <c r="O90">
        <v>0.67533333333333301</v>
      </c>
      <c r="P90">
        <v>0.51733333333333298</v>
      </c>
      <c r="Q90">
        <v>0.61866666666666603</v>
      </c>
      <c r="R90">
        <v>0.68184999999999996</v>
      </c>
      <c r="S90">
        <v>0.65254666666666605</v>
      </c>
      <c r="T90">
        <v>0.56777333298966604</v>
      </c>
      <c r="U90">
        <v>0.58031666788133296</v>
      </c>
      <c r="V90">
        <v>0.69803999999999999</v>
      </c>
      <c r="W90">
        <v>0.68768333333333298</v>
      </c>
      <c r="X90">
        <v>18.402000000000001</v>
      </c>
      <c r="Y90">
        <v>19.523</v>
      </c>
      <c r="Z90">
        <v>18.850999999999999</v>
      </c>
      <c r="AA90">
        <v>20.071999999999999</v>
      </c>
      <c r="AB90">
        <v>18.803999999999998</v>
      </c>
      <c r="AC90">
        <v>19.702999999999999</v>
      </c>
      <c r="AD90">
        <v>17.533999999999999</v>
      </c>
      <c r="AE90">
        <v>20.355</v>
      </c>
      <c r="AF90">
        <v>22.684000000000001</v>
      </c>
      <c r="AG90">
        <v>20.713999999999999</v>
      </c>
      <c r="AH90">
        <v>18.884</v>
      </c>
      <c r="AI90">
        <v>20.504000000000001</v>
      </c>
      <c r="AJ90">
        <v>19.045000000000002</v>
      </c>
      <c r="AK90">
        <v>18.831</v>
      </c>
      <c r="AL90">
        <v>21.471588000000001</v>
      </c>
      <c r="AM90">
        <v>18.559740000000001</v>
      </c>
      <c r="AN90">
        <v>19.181502211074001</v>
      </c>
      <c r="AO90">
        <v>19.244895753925999</v>
      </c>
      <c r="AP90">
        <v>21.973794999999999</v>
      </c>
      <c r="AQ90">
        <v>22.269748</v>
      </c>
      <c r="AR90">
        <v>597.98500000000001</v>
      </c>
      <c r="AS90">
        <v>620.28599999999994</v>
      </c>
      <c r="AT90">
        <v>636.14599999999996</v>
      </c>
      <c r="AU90">
        <v>459.79700000000003</v>
      </c>
      <c r="AV90">
        <v>542.88699999999994</v>
      </c>
      <c r="AW90">
        <v>1177.2270000000001</v>
      </c>
      <c r="AX90">
        <v>723.48099999999999</v>
      </c>
      <c r="AY90">
        <v>491.28300000000002</v>
      </c>
      <c r="AZ90">
        <v>511.86</v>
      </c>
      <c r="BA90">
        <v>341.61399999999998</v>
      </c>
      <c r="BB90">
        <v>949.58299999999997</v>
      </c>
      <c r="BC90">
        <v>577.67600000000004</v>
      </c>
      <c r="BD90">
        <v>626.34500000000003</v>
      </c>
      <c r="BE90">
        <v>1136.6959999999999</v>
      </c>
      <c r="BF90">
        <v>789.44124599999998</v>
      </c>
      <c r="BG90">
        <v>701.52538999999899</v>
      </c>
      <c r="BH90">
        <v>597.902717359402</v>
      </c>
      <c r="BI90">
        <v>595.70291009578602</v>
      </c>
      <c r="BJ90">
        <v>845.79935999999998</v>
      </c>
      <c r="BK90">
        <v>730.45756200000005</v>
      </c>
      <c r="BL90" cm="1">
        <f t="array" ref="BL90">INDEX(R90:W90,0,MATCH($A90,$R$1:$W$1,0))</f>
        <v>0.56777333298966604</v>
      </c>
      <c r="BM90" cm="1">
        <f t="array" ref="BM90">INDEX(AL90:AQ90,0,MATCH($A90,$R$1:$W$1,0))</f>
        <v>19.181502211074001</v>
      </c>
      <c r="BN90" cm="1">
        <f t="array" ref="BN90">INDEX(BF90:BK90,0,MATCH($A90,$R$1:$W$1,0))</f>
        <v>597.902717359402</v>
      </c>
    </row>
    <row r="91" spans="1:66" x14ac:dyDescent="0.35">
      <c r="A91" t="s">
        <v>66</v>
      </c>
      <c r="B91">
        <v>469649</v>
      </c>
      <c r="C91">
        <v>2012</v>
      </c>
      <c r="D91">
        <v>0.52700000000000002</v>
      </c>
      <c r="E91">
        <v>0.54</v>
      </c>
      <c r="F91">
        <v>0.55966666666666598</v>
      </c>
      <c r="G91">
        <v>0.57133333333333303</v>
      </c>
      <c r="H91">
        <v>0.53233333333333299</v>
      </c>
      <c r="I91">
        <v>0.70833333333333304</v>
      </c>
      <c r="J91">
        <v>0.64700000000000002</v>
      </c>
      <c r="K91">
        <v>0.52166666666666595</v>
      </c>
      <c r="L91">
        <v>0.67499999999999905</v>
      </c>
      <c r="M91">
        <v>0.56399999999999995</v>
      </c>
      <c r="N91">
        <v>0.61833333333333296</v>
      </c>
      <c r="O91">
        <v>0.67533333333333301</v>
      </c>
      <c r="P91">
        <v>0.51733333333333298</v>
      </c>
      <c r="Q91">
        <v>0.61866666666666603</v>
      </c>
      <c r="R91">
        <v>0.68184999999999996</v>
      </c>
      <c r="S91">
        <v>0.65254666666666605</v>
      </c>
      <c r="T91">
        <v>0.56777333298966604</v>
      </c>
      <c r="U91">
        <v>0.58031666788133296</v>
      </c>
      <c r="V91">
        <v>0.69803999999999999</v>
      </c>
      <c r="W91">
        <v>0.68768333333333298</v>
      </c>
      <c r="X91">
        <v>18.402000000000001</v>
      </c>
      <c r="Y91">
        <v>19.523</v>
      </c>
      <c r="Z91">
        <v>18.850999999999999</v>
      </c>
      <c r="AA91">
        <v>20.071999999999999</v>
      </c>
      <c r="AB91">
        <v>18.803999999999998</v>
      </c>
      <c r="AC91">
        <v>19.702999999999999</v>
      </c>
      <c r="AD91">
        <v>17.533999999999999</v>
      </c>
      <c r="AE91">
        <v>20.355</v>
      </c>
      <c r="AF91">
        <v>22.684000000000001</v>
      </c>
      <c r="AG91">
        <v>20.713999999999999</v>
      </c>
      <c r="AH91">
        <v>18.884</v>
      </c>
      <c r="AI91">
        <v>20.504000000000001</v>
      </c>
      <c r="AJ91">
        <v>19.045000000000002</v>
      </c>
      <c r="AK91">
        <v>18.831</v>
      </c>
      <c r="AL91">
        <v>21.471588000000001</v>
      </c>
      <c r="AM91">
        <v>18.559740000000001</v>
      </c>
      <c r="AN91">
        <v>19.181502211074001</v>
      </c>
      <c r="AO91">
        <v>19.244895753925999</v>
      </c>
      <c r="AP91">
        <v>21.973794999999999</v>
      </c>
      <c r="AQ91">
        <v>22.269748</v>
      </c>
      <c r="AR91">
        <v>597.98500000000001</v>
      </c>
      <c r="AS91">
        <v>620.28599999999994</v>
      </c>
      <c r="AT91">
        <v>636.14599999999996</v>
      </c>
      <c r="AU91">
        <v>459.79700000000003</v>
      </c>
      <c r="AV91">
        <v>542.88699999999994</v>
      </c>
      <c r="AW91">
        <v>1177.2270000000001</v>
      </c>
      <c r="AX91">
        <v>723.48099999999999</v>
      </c>
      <c r="AY91">
        <v>491.28300000000002</v>
      </c>
      <c r="AZ91">
        <v>511.86</v>
      </c>
      <c r="BA91">
        <v>341.61399999999998</v>
      </c>
      <c r="BB91">
        <v>949.58299999999997</v>
      </c>
      <c r="BC91">
        <v>577.67600000000004</v>
      </c>
      <c r="BD91">
        <v>626.34500000000003</v>
      </c>
      <c r="BE91">
        <v>1136.6959999999999</v>
      </c>
      <c r="BF91">
        <v>789.44124599999998</v>
      </c>
      <c r="BG91">
        <v>701.52538999999899</v>
      </c>
      <c r="BH91">
        <v>597.902717359402</v>
      </c>
      <c r="BI91">
        <v>595.70291009578602</v>
      </c>
      <c r="BJ91">
        <v>845.79935999999998</v>
      </c>
      <c r="BK91">
        <v>730.45756200000005</v>
      </c>
      <c r="BL91" cm="1">
        <f t="array" ref="BL91">INDEX(R91:W91,0,MATCH($A91,$R$1:$W$1,0))</f>
        <v>0.69803999999999999</v>
      </c>
      <c r="BM91" cm="1">
        <f t="array" ref="BM91">INDEX(AL91:AQ91,0,MATCH($A91,$R$1:$W$1,0))</f>
        <v>21.973794999999999</v>
      </c>
      <c r="BN91" cm="1">
        <f t="array" ref="BN91">INDEX(BF91:BK91,0,MATCH($A91,$R$1:$W$1,0))</f>
        <v>845.79935999999998</v>
      </c>
    </row>
    <row r="92" spans="1:66" x14ac:dyDescent="0.35">
      <c r="A92" t="s">
        <v>67</v>
      </c>
      <c r="B92">
        <v>137574</v>
      </c>
      <c r="C92">
        <v>2012</v>
      </c>
      <c r="D92">
        <v>0.52700000000000002</v>
      </c>
      <c r="E92">
        <v>0.54</v>
      </c>
      <c r="F92">
        <v>0.55966666666666598</v>
      </c>
      <c r="G92">
        <v>0.57133333333333303</v>
      </c>
      <c r="H92">
        <v>0.53233333333333299</v>
      </c>
      <c r="I92">
        <v>0.70833333333333304</v>
      </c>
      <c r="J92">
        <v>0.64700000000000002</v>
      </c>
      <c r="K92">
        <v>0.52166666666666595</v>
      </c>
      <c r="L92">
        <v>0.67499999999999905</v>
      </c>
      <c r="M92">
        <v>0.56399999999999995</v>
      </c>
      <c r="N92">
        <v>0.61833333333333296</v>
      </c>
      <c r="O92">
        <v>0.67533333333333301</v>
      </c>
      <c r="P92">
        <v>0.51733333333333298</v>
      </c>
      <c r="Q92">
        <v>0.61866666666666603</v>
      </c>
      <c r="R92">
        <v>0.68184999999999996</v>
      </c>
      <c r="S92">
        <v>0.65254666666666605</v>
      </c>
      <c r="T92">
        <v>0.56777333298966604</v>
      </c>
      <c r="U92">
        <v>0.58031666788133296</v>
      </c>
      <c r="V92">
        <v>0.69803999999999999</v>
      </c>
      <c r="W92">
        <v>0.68768333333333298</v>
      </c>
      <c r="X92">
        <v>18.402000000000001</v>
      </c>
      <c r="Y92">
        <v>19.523</v>
      </c>
      <c r="Z92">
        <v>18.850999999999999</v>
      </c>
      <c r="AA92">
        <v>20.071999999999999</v>
      </c>
      <c r="AB92">
        <v>18.803999999999998</v>
      </c>
      <c r="AC92">
        <v>19.702999999999999</v>
      </c>
      <c r="AD92">
        <v>17.533999999999999</v>
      </c>
      <c r="AE92">
        <v>20.355</v>
      </c>
      <c r="AF92">
        <v>22.684000000000001</v>
      </c>
      <c r="AG92">
        <v>20.713999999999999</v>
      </c>
      <c r="AH92">
        <v>18.884</v>
      </c>
      <c r="AI92">
        <v>20.504000000000001</v>
      </c>
      <c r="AJ92">
        <v>19.045000000000002</v>
      </c>
      <c r="AK92">
        <v>18.831</v>
      </c>
      <c r="AL92">
        <v>21.471588000000001</v>
      </c>
      <c r="AM92">
        <v>18.559740000000001</v>
      </c>
      <c r="AN92">
        <v>19.181502211074001</v>
      </c>
      <c r="AO92">
        <v>19.244895753925999</v>
      </c>
      <c r="AP92">
        <v>21.973794999999999</v>
      </c>
      <c r="AQ92">
        <v>22.269748</v>
      </c>
      <c r="AR92">
        <v>597.98500000000001</v>
      </c>
      <c r="AS92">
        <v>620.28599999999994</v>
      </c>
      <c r="AT92">
        <v>636.14599999999996</v>
      </c>
      <c r="AU92">
        <v>459.79700000000003</v>
      </c>
      <c r="AV92">
        <v>542.88699999999994</v>
      </c>
      <c r="AW92">
        <v>1177.2270000000001</v>
      </c>
      <c r="AX92">
        <v>723.48099999999999</v>
      </c>
      <c r="AY92">
        <v>491.28300000000002</v>
      </c>
      <c r="AZ92">
        <v>511.86</v>
      </c>
      <c r="BA92">
        <v>341.61399999999998</v>
      </c>
      <c r="BB92">
        <v>949.58299999999997</v>
      </c>
      <c r="BC92">
        <v>577.67600000000004</v>
      </c>
      <c r="BD92">
        <v>626.34500000000003</v>
      </c>
      <c r="BE92">
        <v>1136.6959999999999</v>
      </c>
      <c r="BF92">
        <v>789.44124599999998</v>
      </c>
      <c r="BG92">
        <v>701.52538999999899</v>
      </c>
      <c r="BH92">
        <v>597.902717359402</v>
      </c>
      <c r="BI92">
        <v>595.70291009578602</v>
      </c>
      <c r="BJ92">
        <v>845.79935999999998</v>
      </c>
      <c r="BK92">
        <v>730.45756200000005</v>
      </c>
      <c r="BL92" cm="1">
        <f t="array" ref="BL92">INDEX(R92:W92,0,MATCH($A92,$R$1:$W$1,0))</f>
        <v>0.68768333333333298</v>
      </c>
      <c r="BM92" cm="1">
        <f t="array" ref="BM92">INDEX(AL92:AQ92,0,MATCH($A92,$R$1:$W$1,0))</f>
        <v>22.269748</v>
      </c>
      <c r="BN92" cm="1">
        <f t="array" ref="BN92">INDEX(BF92:BK92,0,MATCH($A92,$R$1:$W$1,0))</f>
        <v>730.45756200000005</v>
      </c>
    </row>
    <row r="93" spans="1:66" x14ac:dyDescent="0.35">
      <c r="A93" t="s">
        <v>63</v>
      </c>
      <c r="B93">
        <v>677456</v>
      </c>
      <c r="C93">
        <v>2013</v>
      </c>
      <c r="D93">
        <v>0.51100000000000001</v>
      </c>
      <c r="E93">
        <v>0.57699999999999996</v>
      </c>
      <c r="F93">
        <v>0.59033333333333304</v>
      </c>
      <c r="G93">
        <v>0.59133333333333304</v>
      </c>
      <c r="H93">
        <v>0.56966666666666599</v>
      </c>
      <c r="I93">
        <v>0.69599999999999995</v>
      </c>
      <c r="J93">
        <v>0.61333333333333295</v>
      </c>
      <c r="K93">
        <v>0.51</v>
      </c>
      <c r="L93">
        <v>0.53866666666666596</v>
      </c>
      <c r="M93">
        <v>0.50066666666666604</v>
      </c>
      <c r="N93">
        <v>0.67533333333333301</v>
      </c>
      <c r="O93">
        <v>0.61166666666666603</v>
      </c>
      <c r="P93">
        <v>0.56533333333333302</v>
      </c>
      <c r="Q93">
        <v>0.66366666666666596</v>
      </c>
      <c r="R93">
        <v>0.68363399999999996</v>
      </c>
      <c r="S93">
        <v>0.61695999999999995</v>
      </c>
      <c r="T93">
        <v>0.58755666634333303</v>
      </c>
      <c r="U93">
        <v>0.58515142976066603</v>
      </c>
      <c r="V93">
        <v>0.69479166666666603</v>
      </c>
      <c r="W93">
        <v>0.685682666666666</v>
      </c>
      <c r="X93">
        <v>17.440999999999999</v>
      </c>
      <c r="Y93">
        <v>19.577999999999999</v>
      </c>
      <c r="Z93">
        <v>19.437000000000001</v>
      </c>
      <c r="AA93">
        <v>20.279</v>
      </c>
      <c r="AB93">
        <v>19.544</v>
      </c>
      <c r="AC93">
        <v>19.562000000000001</v>
      </c>
      <c r="AD93">
        <v>20.497</v>
      </c>
      <c r="AE93">
        <v>19.050999999999998</v>
      </c>
      <c r="AF93">
        <v>19.776</v>
      </c>
      <c r="AG93">
        <v>19.233000000000001</v>
      </c>
      <c r="AH93">
        <v>22.204000000000001</v>
      </c>
      <c r="AI93">
        <v>19.989999999999998</v>
      </c>
      <c r="AJ93">
        <v>19.056999999999999</v>
      </c>
      <c r="AK93">
        <v>21.077000000000002</v>
      </c>
      <c r="AL93">
        <v>22.853287999999999</v>
      </c>
      <c r="AM93">
        <v>20.310790000000001</v>
      </c>
      <c r="AN93">
        <v>19.860796655879</v>
      </c>
      <c r="AO93">
        <v>19.843908611105999</v>
      </c>
      <c r="AP93">
        <v>23.531645000000001</v>
      </c>
      <c r="AQ93">
        <v>23.053381999999999</v>
      </c>
      <c r="AR93">
        <v>503.83</v>
      </c>
      <c r="AS93">
        <v>528.14099999999996</v>
      </c>
      <c r="AT93">
        <v>597.51699999999903</v>
      </c>
      <c r="AU93">
        <v>519.91200000000003</v>
      </c>
      <c r="AV93">
        <v>580.39800000000002</v>
      </c>
      <c r="AW93">
        <v>1173.8520000000001</v>
      </c>
      <c r="AX93">
        <v>703.54099999999903</v>
      </c>
      <c r="AY93">
        <v>427.32100000000003</v>
      </c>
      <c r="AZ93">
        <v>418.03</v>
      </c>
      <c r="BA93">
        <v>267.822</v>
      </c>
      <c r="BB93">
        <v>739.97199999999998</v>
      </c>
      <c r="BC93">
        <v>623.45899999999995</v>
      </c>
      <c r="BD93">
        <v>526.51300000000003</v>
      </c>
      <c r="BE93">
        <v>1039.721</v>
      </c>
      <c r="BF93">
        <v>730.87355400000001</v>
      </c>
      <c r="BG93">
        <v>701.69058999999902</v>
      </c>
      <c r="BH93">
        <v>577.12343406630498</v>
      </c>
      <c r="BI93">
        <v>586.81045276324801</v>
      </c>
      <c r="BJ93">
        <v>747.69959499999902</v>
      </c>
      <c r="BK93">
        <v>704.11533199999997</v>
      </c>
      <c r="BL93" cm="1">
        <f t="array" ref="BL93">INDEX(R93:W93,0,MATCH($A93,$R$1:$W$1,0))</f>
        <v>0.58515142976066603</v>
      </c>
      <c r="BM93" cm="1">
        <f t="array" ref="BM93">INDEX(AL93:AQ93,0,MATCH($A93,$R$1:$W$1,0))</f>
        <v>19.843908611105999</v>
      </c>
      <c r="BN93" cm="1">
        <f t="array" ref="BN93">INDEX(BF93:BK93,0,MATCH($A93,$R$1:$W$1,0))</f>
        <v>586.81045276324801</v>
      </c>
    </row>
    <row r="94" spans="1:66" x14ac:dyDescent="0.35">
      <c r="A94" t="s">
        <v>64</v>
      </c>
      <c r="B94">
        <v>225902</v>
      </c>
      <c r="C94">
        <v>2013</v>
      </c>
      <c r="D94">
        <v>0.51100000000000001</v>
      </c>
      <c r="E94">
        <v>0.57699999999999996</v>
      </c>
      <c r="F94">
        <v>0.59033333333333304</v>
      </c>
      <c r="G94">
        <v>0.59133333333333304</v>
      </c>
      <c r="H94">
        <v>0.56966666666666599</v>
      </c>
      <c r="I94">
        <v>0.69599999999999995</v>
      </c>
      <c r="J94">
        <v>0.61333333333333295</v>
      </c>
      <c r="K94">
        <v>0.51</v>
      </c>
      <c r="L94">
        <v>0.53866666666666596</v>
      </c>
      <c r="M94">
        <v>0.50066666666666604</v>
      </c>
      <c r="N94">
        <v>0.67533333333333301</v>
      </c>
      <c r="O94">
        <v>0.61166666666666603</v>
      </c>
      <c r="P94">
        <v>0.56533333333333302</v>
      </c>
      <c r="Q94">
        <v>0.66366666666666596</v>
      </c>
      <c r="R94">
        <v>0.68363399999999996</v>
      </c>
      <c r="S94">
        <v>0.61695999999999995</v>
      </c>
      <c r="T94">
        <v>0.58755666634333303</v>
      </c>
      <c r="U94">
        <v>0.58515142976066603</v>
      </c>
      <c r="V94">
        <v>0.69479166666666603</v>
      </c>
      <c r="W94">
        <v>0.685682666666666</v>
      </c>
      <c r="X94">
        <v>17.440999999999999</v>
      </c>
      <c r="Y94">
        <v>19.577999999999999</v>
      </c>
      <c r="Z94">
        <v>19.437000000000001</v>
      </c>
      <c r="AA94">
        <v>20.279</v>
      </c>
      <c r="AB94">
        <v>19.544</v>
      </c>
      <c r="AC94">
        <v>19.562000000000001</v>
      </c>
      <c r="AD94">
        <v>20.497</v>
      </c>
      <c r="AE94">
        <v>19.050999999999998</v>
      </c>
      <c r="AF94">
        <v>19.776</v>
      </c>
      <c r="AG94">
        <v>19.233000000000001</v>
      </c>
      <c r="AH94">
        <v>22.204000000000001</v>
      </c>
      <c r="AI94">
        <v>19.989999999999998</v>
      </c>
      <c r="AJ94">
        <v>19.056999999999999</v>
      </c>
      <c r="AK94">
        <v>21.077000000000002</v>
      </c>
      <c r="AL94">
        <v>22.853287999999999</v>
      </c>
      <c r="AM94">
        <v>20.310790000000001</v>
      </c>
      <c r="AN94">
        <v>19.860796655879</v>
      </c>
      <c r="AO94">
        <v>19.843908611105999</v>
      </c>
      <c r="AP94">
        <v>23.531645000000001</v>
      </c>
      <c r="AQ94">
        <v>23.053381999999999</v>
      </c>
      <c r="AR94">
        <v>503.83</v>
      </c>
      <c r="AS94">
        <v>528.14099999999996</v>
      </c>
      <c r="AT94">
        <v>597.51699999999903</v>
      </c>
      <c r="AU94">
        <v>519.91200000000003</v>
      </c>
      <c r="AV94">
        <v>580.39800000000002</v>
      </c>
      <c r="AW94">
        <v>1173.8520000000001</v>
      </c>
      <c r="AX94">
        <v>703.54099999999903</v>
      </c>
      <c r="AY94">
        <v>427.32100000000003</v>
      </c>
      <c r="AZ94">
        <v>418.03</v>
      </c>
      <c r="BA94">
        <v>267.822</v>
      </c>
      <c r="BB94">
        <v>739.97199999999998</v>
      </c>
      <c r="BC94">
        <v>623.45899999999995</v>
      </c>
      <c r="BD94">
        <v>526.51300000000003</v>
      </c>
      <c r="BE94">
        <v>1039.721</v>
      </c>
      <c r="BF94">
        <v>730.87355400000001</v>
      </c>
      <c r="BG94">
        <v>701.69058999999902</v>
      </c>
      <c r="BH94">
        <v>577.12343406630498</v>
      </c>
      <c r="BI94">
        <v>586.81045276324801</v>
      </c>
      <c r="BJ94">
        <v>747.69959499999902</v>
      </c>
      <c r="BK94">
        <v>704.11533199999997</v>
      </c>
      <c r="BL94" cm="1">
        <f t="array" ref="BL94">INDEX(R94:W94,0,MATCH($A94,$R$1:$W$1,0))</f>
        <v>0.68363399999999996</v>
      </c>
      <c r="BM94" cm="1">
        <f t="array" ref="BM94">INDEX(AL94:AQ94,0,MATCH($A94,$R$1:$W$1,0))</f>
        <v>22.853287999999999</v>
      </c>
      <c r="BN94" cm="1">
        <f t="array" ref="BN94">INDEX(BF94:BK94,0,MATCH($A94,$R$1:$W$1,0))</f>
        <v>730.87355400000001</v>
      </c>
    </row>
    <row r="95" spans="1:66" x14ac:dyDescent="0.35">
      <c r="A95" t="s">
        <v>65</v>
      </c>
      <c r="B95">
        <v>515365</v>
      </c>
      <c r="C95">
        <v>2013</v>
      </c>
      <c r="D95">
        <v>0.51100000000000001</v>
      </c>
      <c r="E95">
        <v>0.57699999999999996</v>
      </c>
      <c r="F95">
        <v>0.59033333333333304</v>
      </c>
      <c r="G95">
        <v>0.59133333333333304</v>
      </c>
      <c r="H95">
        <v>0.56966666666666599</v>
      </c>
      <c r="I95">
        <v>0.69599999999999995</v>
      </c>
      <c r="J95">
        <v>0.61333333333333295</v>
      </c>
      <c r="K95">
        <v>0.51</v>
      </c>
      <c r="L95">
        <v>0.53866666666666596</v>
      </c>
      <c r="M95">
        <v>0.50066666666666604</v>
      </c>
      <c r="N95">
        <v>0.67533333333333301</v>
      </c>
      <c r="O95">
        <v>0.61166666666666603</v>
      </c>
      <c r="P95">
        <v>0.56533333333333302</v>
      </c>
      <c r="Q95">
        <v>0.66366666666666596</v>
      </c>
      <c r="R95">
        <v>0.68363399999999996</v>
      </c>
      <c r="S95">
        <v>0.61695999999999995</v>
      </c>
      <c r="T95">
        <v>0.58755666634333303</v>
      </c>
      <c r="U95">
        <v>0.58515142976066603</v>
      </c>
      <c r="V95">
        <v>0.69479166666666603</v>
      </c>
      <c r="W95">
        <v>0.685682666666666</v>
      </c>
      <c r="X95">
        <v>17.440999999999999</v>
      </c>
      <c r="Y95">
        <v>19.577999999999999</v>
      </c>
      <c r="Z95">
        <v>19.437000000000001</v>
      </c>
      <c r="AA95">
        <v>20.279</v>
      </c>
      <c r="AB95">
        <v>19.544</v>
      </c>
      <c r="AC95">
        <v>19.562000000000001</v>
      </c>
      <c r="AD95">
        <v>20.497</v>
      </c>
      <c r="AE95">
        <v>19.050999999999998</v>
      </c>
      <c r="AF95">
        <v>19.776</v>
      </c>
      <c r="AG95">
        <v>19.233000000000001</v>
      </c>
      <c r="AH95">
        <v>22.204000000000001</v>
      </c>
      <c r="AI95">
        <v>19.989999999999998</v>
      </c>
      <c r="AJ95">
        <v>19.056999999999999</v>
      </c>
      <c r="AK95">
        <v>21.077000000000002</v>
      </c>
      <c r="AL95">
        <v>22.853287999999999</v>
      </c>
      <c r="AM95">
        <v>20.310790000000001</v>
      </c>
      <c r="AN95">
        <v>19.860796655879</v>
      </c>
      <c r="AO95">
        <v>19.843908611105999</v>
      </c>
      <c r="AP95">
        <v>23.531645000000001</v>
      </c>
      <c r="AQ95">
        <v>23.053381999999999</v>
      </c>
      <c r="AR95">
        <v>503.83</v>
      </c>
      <c r="AS95">
        <v>528.14099999999996</v>
      </c>
      <c r="AT95">
        <v>597.51699999999903</v>
      </c>
      <c r="AU95">
        <v>519.91200000000003</v>
      </c>
      <c r="AV95">
        <v>580.39800000000002</v>
      </c>
      <c r="AW95">
        <v>1173.8520000000001</v>
      </c>
      <c r="AX95">
        <v>703.54099999999903</v>
      </c>
      <c r="AY95">
        <v>427.32100000000003</v>
      </c>
      <c r="AZ95">
        <v>418.03</v>
      </c>
      <c r="BA95">
        <v>267.822</v>
      </c>
      <c r="BB95">
        <v>739.97199999999998</v>
      </c>
      <c r="BC95">
        <v>623.45899999999995</v>
      </c>
      <c r="BD95">
        <v>526.51300000000003</v>
      </c>
      <c r="BE95">
        <v>1039.721</v>
      </c>
      <c r="BF95">
        <v>730.87355400000001</v>
      </c>
      <c r="BG95">
        <v>701.69058999999902</v>
      </c>
      <c r="BH95">
        <v>577.12343406630498</v>
      </c>
      <c r="BI95">
        <v>586.81045276324801</v>
      </c>
      <c r="BJ95">
        <v>747.69959499999902</v>
      </c>
      <c r="BK95">
        <v>704.11533199999997</v>
      </c>
      <c r="BL95" cm="1">
        <f t="array" ref="BL95">INDEX(R95:W95,0,MATCH($A95,$R$1:$W$1,0))</f>
        <v>0.58755666634333303</v>
      </c>
      <c r="BM95" cm="1">
        <f t="array" ref="BM95">INDEX(AL95:AQ95,0,MATCH($A95,$R$1:$W$1,0))</f>
        <v>19.860796655879</v>
      </c>
      <c r="BN95" cm="1">
        <f t="array" ref="BN95">INDEX(BF95:BK95,0,MATCH($A95,$R$1:$W$1,0))</f>
        <v>577.12343406630498</v>
      </c>
    </row>
    <row r="96" spans="1:66" x14ac:dyDescent="0.35">
      <c r="A96" t="s">
        <v>66</v>
      </c>
      <c r="B96">
        <v>436153</v>
      </c>
      <c r="C96">
        <v>2013</v>
      </c>
      <c r="D96">
        <v>0.51100000000000001</v>
      </c>
      <c r="E96">
        <v>0.57699999999999996</v>
      </c>
      <c r="F96">
        <v>0.59033333333333304</v>
      </c>
      <c r="G96">
        <v>0.59133333333333304</v>
      </c>
      <c r="H96">
        <v>0.56966666666666599</v>
      </c>
      <c r="I96">
        <v>0.69599999999999995</v>
      </c>
      <c r="J96">
        <v>0.61333333333333295</v>
      </c>
      <c r="K96">
        <v>0.51</v>
      </c>
      <c r="L96">
        <v>0.53866666666666596</v>
      </c>
      <c r="M96">
        <v>0.50066666666666604</v>
      </c>
      <c r="N96">
        <v>0.67533333333333301</v>
      </c>
      <c r="O96">
        <v>0.61166666666666603</v>
      </c>
      <c r="P96">
        <v>0.56533333333333302</v>
      </c>
      <c r="Q96">
        <v>0.66366666666666596</v>
      </c>
      <c r="R96">
        <v>0.68363399999999996</v>
      </c>
      <c r="S96">
        <v>0.61695999999999995</v>
      </c>
      <c r="T96">
        <v>0.58755666634333303</v>
      </c>
      <c r="U96">
        <v>0.58515142976066603</v>
      </c>
      <c r="V96">
        <v>0.69479166666666603</v>
      </c>
      <c r="W96">
        <v>0.685682666666666</v>
      </c>
      <c r="X96">
        <v>17.440999999999999</v>
      </c>
      <c r="Y96">
        <v>19.577999999999999</v>
      </c>
      <c r="Z96">
        <v>19.437000000000001</v>
      </c>
      <c r="AA96">
        <v>20.279</v>
      </c>
      <c r="AB96">
        <v>19.544</v>
      </c>
      <c r="AC96">
        <v>19.562000000000001</v>
      </c>
      <c r="AD96">
        <v>20.497</v>
      </c>
      <c r="AE96">
        <v>19.050999999999998</v>
      </c>
      <c r="AF96">
        <v>19.776</v>
      </c>
      <c r="AG96">
        <v>19.233000000000001</v>
      </c>
      <c r="AH96">
        <v>22.204000000000001</v>
      </c>
      <c r="AI96">
        <v>19.989999999999998</v>
      </c>
      <c r="AJ96">
        <v>19.056999999999999</v>
      </c>
      <c r="AK96">
        <v>21.077000000000002</v>
      </c>
      <c r="AL96">
        <v>22.853287999999999</v>
      </c>
      <c r="AM96">
        <v>20.310790000000001</v>
      </c>
      <c r="AN96">
        <v>19.860796655879</v>
      </c>
      <c r="AO96">
        <v>19.843908611105999</v>
      </c>
      <c r="AP96">
        <v>23.531645000000001</v>
      </c>
      <c r="AQ96">
        <v>23.053381999999999</v>
      </c>
      <c r="AR96">
        <v>503.83</v>
      </c>
      <c r="AS96">
        <v>528.14099999999996</v>
      </c>
      <c r="AT96">
        <v>597.51699999999903</v>
      </c>
      <c r="AU96">
        <v>519.91200000000003</v>
      </c>
      <c r="AV96">
        <v>580.39800000000002</v>
      </c>
      <c r="AW96">
        <v>1173.8520000000001</v>
      </c>
      <c r="AX96">
        <v>703.54099999999903</v>
      </c>
      <c r="AY96">
        <v>427.32100000000003</v>
      </c>
      <c r="AZ96">
        <v>418.03</v>
      </c>
      <c r="BA96">
        <v>267.822</v>
      </c>
      <c r="BB96">
        <v>739.97199999999998</v>
      </c>
      <c r="BC96">
        <v>623.45899999999995</v>
      </c>
      <c r="BD96">
        <v>526.51300000000003</v>
      </c>
      <c r="BE96">
        <v>1039.721</v>
      </c>
      <c r="BF96">
        <v>730.87355400000001</v>
      </c>
      <c r="BG96">
        <v>701.69058999999902</v>
      </c>
      <c r="BH96">
        <v>577.12343406630498</v>
      </c>
      <c r="BI96">
        <v>586.81045276324801</v>
      </c>
      <c r="BJ96">
        <v>747.69959499999902</v>
      </c>
      <c r="BK96">
        <v>704.11533199999997</v>
      </c>
      <c r="BL96" cm="1">
        <f t="array" ref="BL96">INDEX(R96:W96,0,MATCH($A96,$R$1:$W$1,0))</f>
        <v>0.69479166666666603</v>
      </c>
      <c r="BM96" cm="1">
        <f t="array" ref="BM96">INDEX(AL96:AQ96,0,MATCH($A96,$R$1:$W$1,0))</f>
        <v>23.531645000000001</v>
      </c>
      <c r="BN96" cm="1">
        <f t="array" ref="BN96">INDEX(BF96:BK96,0,MATCH($A96,$R$1:$W$1,0))</f>
        <v>747.69959499999902</v>
      </c>
    </row>
    <row r="97" spans="1:66" x14ac:dyDescent="0.35">
      <c r="A97" t="s">
        <v>67</v>
      </c>
      <c r="B97">
        <v>92029</v>
      </c>
      <c r="C97">
        <v>2013</v>
      </c>
      <c r="D97">
        <v>0.51100000000000001</v>
      </c>
      <c r="E97">
        <v>0.57699999999999996</v>
      </c>
      <c r="F97">
        <v>0.59033333333333304</v>
      </c>
      <c r="G97">
        <v>0.59133333333333304</v>
      </c>
      <c r="H97">
        <v>0.56966666666666599</v>
      </c>
      <c r="I97">
        <v>0.69599999999999995</v>
      </c>
      <c r="J97">
        <v>0.61333333333333295</v>
      </c>
      <c r="K97">
        <v>0.51</v>
      </c>
      <c r="L97">
        <v>0.53866666666666596</v>
      </c>
      <c r="M97">
        <v>0.50066666666666604</v>
      </c>
      <c r="N97">
        <v>0.67533333333333301</v>
      </c>
      <c r="O97">
        <v>0.61166666666666603</v>
      </c>
      <c r="P97">
        <v>0.56533333333333302</v>
      </c>
      <c r="Q97">
        <v>0.66366666666666596</v>
      </c>
      <c r="R97">
        <v>0.68363399999999996</v>
      </c>
      <c r="S97">
        <v>0.61695999999999995</v>
      </c>
      <c r="T97">
        <v>0.58755666634333303</v>
      </c>
      <c r="U97">
        <v>0.58515142976066603</v>
      </c>
      <c r="V97">
        <v>0.69479166666666603</v>
      </c>
      <c r="W97">
        <v>0.685682666666666</v>
      </c>
      <c r="X97">
        <v>17.440999999999999</v>
      </c>
      <c r="Y97">
        <v>19.577999999999999</v>
      </c>
      <c r="Z97">
        <v>19.437000000000001</v>
      </c>
      <c r="AA97">
        <v>20.279</v>
      </c>
      <c r="AB97">
        <v>19.544</v>
      </c>
      <c r="AC97">
        <v>19.562000000000001</v>
      </c>
      <c r="AD97">
        <v>20.497</v>
      </c>
      <c r="AE97">
        <v>19.050999999999998</v>
      </c>
      <c r="AF97">
        <v>19.776</v>
      </c>
      <c r="AG97">
        <v>19.233000000000001</v>
      </c>
      <c r="AH97">
        <v>22.204000000000001</v>
      </c>
      <c r="AI97">
        <v>19.989999999999998</v>
      </c>
      <c r="AJ97">
        <v>19.056999999999999</v>
      </c>
      <c r="AK97">
        <v>21.077000000000002</v>
      </c>
      <c r="AL97">
        <v>22.853287999999999</v>
      </c>
      <c r="AM97">
        <v>20.310790000000001</v>
      </c>
      <c r="AN97">
        <v>19.860796655879</v>
      </c>
      <c r="AO97">
        <v>19.843908611105999</v>
      </c>
      <c r="AP97">
        <v>23.531645000000001</v>
      </c>
      <c r="AQ97">
        <v>23.053381999999999</v>
      </c>
      <c r="AR97">
        <v>503.83</v>
      </c>
      <c r="AS97">
        <v>528.14099999999996</v>
      </c>
      <c r="AT97">
        <v>597.51699999999903</v>
      </c>
      <c r="AU97">
        <v>519.91200000000003</v>
      </c>
      <c r="AV97">
        <v>580.39800000000002</v>
      </c>
      <c r="AW97">
        <v>1173.8520000000001</v>
      </c>
      <c r="AX97">
        <v>703.54099999999903</v>
      </c>
      <c r="AY97">
        <v>427.32100000000003</v>
      </c>
      <c r="AZ97">
        <v>418.03</v>
      </c>
      <c r="BA97">
        <v>267.822</v>
      </c>
      <c r="BB97">
        <v>739.97199999999998</v>
      </c>
      <c r="BC97">
        <v>623.45899999999995</v>
      </c>
      <c r="BD97">
        <v>526.51300000000003</v>
      </c>
      <c r="BE97">
        <v>1039.721</v>
      </c>
      <c r="BF97">
        <v>730.87355400000001</v>
      </c>
      <c r="BG97">
        <v>701.69058999999902</v>
      </c>
      <c r="BH97">
        <v>577.12343406630498</v>
      </c>
      <c r="BI97">
        <v>586.81045276324801</v>
      </c>
      <c r="BJ97">
        <v>747.69959499999902</v>
      </c>
      <c r="BK97">
        <v>704.11533199999997</v>
      </c>
      <c r="BL97" cm="1">
        <f t="array" ref="BL97">INDEX(R97:W97,0,MATCH($A97,$R$1:$W$1,0))</f>
        <v>0.685682666666666</v>
      </c>
      <c r="BM97" cm="1">
        <f t="array" ref="BM97">INDEX(AL97:AQ97,0,MATCH($A97,$R$1:$W$1,0))</f>
        <v>23.053381999999999</v>
      </c>
      <c r="BN97" cm="1">
        <f t="array" ref="BN97">INDEX(BF97:BK97,0,MATCH($A97,$R$1:$W$1,0))</f>
        <v>704.11533199999997</v>
      </c>
    </row>
    <row r="98" spans="1:66" x14ac:dyDescent="0.35">
      <c r="A98" t="s">
        <v>63</v>
      </c>
      <c r="B98">
        <v>669329</v>
      </c>
      <c r="C98">
        <v>2014</v>
      </c>
      <c r="D98">
        <v>0.39133333333333298</v>
      </c>
      <c r="E98">
        <v>0.38999999999999901</v>
      </c>
      <c r="F98">
        <v>0.45333333333333298</v>
      </c>
      <c r="G98">
        <v>0.417333333333333</v>
      </c>
      <c r="H98">
        <v>0.42066666666666602</v>
      </c>
      <c r="I98">
        <v>0.58433333333333304</v>
      </c>
      <c r="J98">
        <v>0.587666666666666</v>
      </c>
      <c r="K98">
        <v>0.437</v>
      </c>
      <c r="L98">
        <v>0.51799999999999902</v>
      </c>
      <c r="M98">
        <v>0.48199999999999998</v>
      </c>
      <c r="N98">
        <v>0.67333333333333301</v>
      </c>
      <c r="O98">
        <v>0.52866666666666595</v>
      </c>
      <c r="P98">
        <v>0.43866666666666598</v>
      </c>
      <c r="Q98">
        <v>0.67866666666666597</v>
      </c>
      <c r="R98">
        <v>0.60260133333333299</v>
      </c>
      <c r="S98">
        <v>0.56338666666666604</v>
      </c>
      <c r="T98">
        <v>0.46468592563099997</v>
      </c>
      <c r="U98">
        <v>0.474843810586</v>
      </c>
      <c r="V98">
        <v>0.65611333333333299</v>
      </c>
      <c r="W98">
        <v>0.57777666666666605</v>
      </c>
      <c r="X98">
        <v>15.749000000000001</v>
      </c>
      <c r="Y98">
        <v>15.837999999999999</v>
      </c>
      <c r="Z98">
        <v>16.899000000000001</v>
      </c>
      <c r="AA98">
        <v>17.510000000000002</v>
      </c>
      <c r="AB98">
        <v>17.065000000000001</v>
      </c>
      <c r="AC98">
        <v>19.814</v>
      </c>
      <c r="AD98">
        <v>18.574999999999999</v>
      </c>
      <c r="AE98">
        <v>17.207000000000001</v>
      </c>
      <c r="AF98">
        <v>18.085999999999999</v>
      </c>
      <c r="AG98">
        <v>16.911999999999999</v>
      </c>
      <c r="AH98">
        <v>19.943999999999999</v>
      </c>
      <c r="AI98">
        <v>18.585999999999999</v>
      </c>
      <c r="AJ98">
        <v>16.416999999999899</v>
      </c>
      <c r="AK98">
        <v>20.050999999999998</v>
      </c>
      <c r="AL98">
        <v>20.525407999999999</v>
      </c>
      <c r="AM98">
        <v>18.597429999999999</v>
      </c>
      <c r="AN98">
        <v>17.379249989931999</v>
      </c>
      <c r="AO98">
        <v>17.579531464683999</v>
      </c>
      <c r="AP98">
        <v>21.259325</v>
      </c>
      <c r="AQ98">
        <v>20.619368000000001</v>
      </c>
      <c r="AR98">
        <v>228.11799999999999</v>
      </c>
      <c r="AS98">
        <v>383.56799999999998</v>
      </c>
      <c r="AT98">
        <v>410.34500000000003</v>
      </c>
      <c r="AU98">
        <v>425.98200000000003</v>
      </c>
      <c r="AV98">
        <v>484.17599999999999</v>
      </c>
      <c r="AW98">
        <v>994.24400000000003</v>
      </c>
      <c r="AX98">
        <v>634.87599999999998</v>
      </c>
      <c r="AY98">
        <v>304.60199999999998</v>
      </c>
      <c r="AZ98">
        <v>342.12200000000001</v>
      </c>
      <c r="BA98">
        <v>169.05699999999999</v>
      </c>
      <c r="BB98">
        <v>785.52499999999998</v>
      </c>
      <c r="BC98">
        <v>525.00900000000001</v>
      </c>
      <c r="BD98">
        <v>311.43799999999999</v>
      </c>
      <c r="BE98">
        <v>976.76400000000001</v>
      </c>
      <c r="BF98">
        <v>636.43295999999998</v>
      </c>
      <c r="BG98">
        <v>618.52611999999999</v>
      </c>
      <c r="BH98">
        <v>464.44508969885499</v>
      </c>
      <c r="BI98">
        <v>471.49762967982798</v>
      </c>
      <c r="BJ98">
        <v>671.51264999999898</v>
      </c>
      <c r="BK98">
        <v>598.94514800000002</v>
      </c>
      <c r="BL98" cm="1">
        <f t="array" ref="BL98">INDEX(R98:W98,0,MATCH($A98,$R$1:$W$1,0))</f>
        <v>0.474843810586</v>
      </c>
      <c r="BM98" cm="1">
        <f t="array" ref="BM98">INDEX(AL98:AQ98,0,MATCH($A98,$R$1:$W$1,0))</f>
        <v>17.579531464683999</v>
      </c>
      <c r="BN98" cm="1">
        <f t="array" ref="BN98">INDEX(BF98:BK98,0,MATCH($A98,$R$1:$W$1,0))</f>
        <v>471.49762967982798</v>
      </c>
    </row>
    <row r="99" spans="1:66" x14ac:dyDescent="0.35">
      <c r="A99" t="s">
        <v>64</v>
      </c>
      <c r="B99">
        <v>178732</v>
      </c>
      <c r="C99">
        <v>2014</v>
      </c>
      <c r="D99">
        <v>0.39133333333333298</v>
      </c>
      <c r="E99">
        <v>0.38999999999999901</v>
      </c>
      <c r="F99">
        <v>0.45333333333333298</v>
      </c>
      <c r="G99">
        <v>0.417333333333333</v>
      </c>
      <c r="H99">
        <v>0.42066666666666602</v>
      </c>
      <c r="I99">
        <v>0.58433333333333304</v>
      </c>
      <c r="J99">
        <v>0.587666666666666</v>
      </c>
      <c r="K99">
        <v>0.437</v>
      </c>
      <c r="L99">
        <v>0.51799999999999902</v>
      </c>
      <c r="M99">
        <v>0.48199999999999998</v>
      </c>
      <c r="N99">
        <v>0.67333333333333301</v>
      </c>
      <c r="O99">
        <v>0.52866666666666595</v>
      </c>
      <c r="P99">
        <v>0.43866666666666598</v>
      </c>
      <c r="Q99">
        <v>0.67866666666666597</v>
      </c>
      <c r="R99">
        <v>0.60260133333333299</v>
      </c>
      <c r="S99">
        <v>0.56338666666666604</v>
      </c>
      <c r="T99">
        <v>0.46468592563099997</v>
      </c>
      <c r="U99">
        <v>0.474843810586</v>
      </c>
      <c r="V99">
        <v>0.65611333333333299</v>
      </c>
      <c r="W99">
        <v>0.57777666666666605</v>
      </c>
      <c r="X99">
        <v>15.749000000000001</v>
      </c>
      <c r="Y99">
        <v>15.837999999999999</v>
      </c>
      <c r="Z99">
        <v>16.899000000000001</v>
      </c>
      <c r="AA99">
        <v>17.510000000000002</v>
      </c>
      <c r="AB99">
        <v>17.065000000000001</v>
      </c>
      <c r="AC99">
        <v>19.814</v>
      </c>
      <c r="AD99">
        <v>18.574999999999999</v>
      </c>
      <c r="AE99">
        <v>17.207000000000001</v>
      </c>
      <c r="AF99">
        <v>18.085999999999999</v>
      </c>
      <c r="AG99">
        <v>16.911999999999999</v>
      </c>
      <c r="AH99">
        <v>19.943999999999999</v>
      </c>
      <c r="AI99">
        <v>18.585999999999999</v>
      </c>
      <c r="AJ99">
        <v>16.416999999999899</v>
      </c>
      <c r="AK99">
        <v>20.050999999999998</v>
      </c>
      <c r="AL99">
        <v>20.525407999999999</v>
      </c>
      <c r="AM99">
        <v>18.597429999999999</v>
      </c>
      <c r="AN99">
        <v>17.379249989931999</v>
      </c>
      <c r="AO99">
        <v>17.579531464683999</v>
      </c>
      <c r="AP99">
        <v>21.259325</v>
      </c>
      <c r="AQ99">
        <v>20.619368000000001</v>
      </c>
      <c r="AR99">
        <v>228.11799999999999</v>
      </c>
      <c r="AS99">
        <v>383.56799999999998</v>
      </c>
      <c r="AT99">
        <v>410.34500000000003</v>
      </c>
      <c r="AU99">
        <v>425.98200000000003</v>
      </c>
      <c r="AV99">
        <v>484.17599999999999</v>
      </c>
      <c r="AW99">
        <v>994.24400000000003</v>
      </c>
      <c r="AX99">
        <v>634.87599999999998</v>
      </c>
      <c r="AY99">
        <v>304.60199999999998</v>
      </c>
      <c r="AZ99">
        <v>342.12200000000001</v>
      </c>
      <c r="BA99">
        <v>169.05699999999999</v>
      </c>
      <c r="BB99">
        <v>785.52499999999998</v>
      </c>
      <c r="BC99">
        <v>525.00900000000001</v>
      </c>
      <c r="BD99">
        <v>311.43799999999999</v>
      </c>
      <c r="BE99">
        <v>976.76400000000001</v>
      </c>
      <c r="BF99">
        <v>636.43295999999998</v>
      </c>
      <c r="BG99">
        <v>618.52611999999999</v>
      </c>
      <c r="BH99">
        <v>464.44508969885499</v>
      </c>
      <c r="BI99">
        <v>471.49762967982798</v>
      </c>
      <c r="BJ99">
        <v>671.51264999999898</v>
      </c>
      <c r="BK99">
        <v>598.94514800000002</v>
      </c>
      <c r="BL99" cm="1">
        <f t="array" ref="BL99">INDEX(R99:W99,0,MATCH($A99,$R$1:$W$1,0))</f>
        <v>0.60260133333333299</v>
      </c>
      <c r="BM99" cm="1">
        <f t="array" ref="BM99">INDEX(AL99:AQ99,0,MATCH($A99,$R$1:$W$1,0))</f>
        <v>20.525407999999999</v>
      </c>
      <c r="BN99" cm="1">
        <f t="array" ref="BN99">INDEX(BF99:BK99,0,MATCH($A99,$R$1:$W$1,0))</f>
        <v>636.43295999999998</v>
      </c>
    </row>
    <row r="100" spans="1:66" x14ac:dyDescent="0.35">
      <c r="A100" t="s">
        <v>65</v>
      </c>
      <c r="B100">
        <v>408993</v>
      </c>
      <c r="C100">
        <v>2014</v>
      </c>
      <c r="D100">
        <v>0.39133333333333298</v>
      </c>
      <c r="E100">
        <v>0.38999999999999901</v>
      </c>
      <c r="F100">
        <v>0.45333333333333298</v>
      </c>
      <c r="G100">
        <v>0.417333333333333</v>
      </c>
      <c r="H100">
        <v>0.42066666666666602</v>
      </c>
      <c r="I100">
        <v>0.58433333333333304</v>
      </c>
      <c r="J100">
        <v>0.587666666666666</v>
      </c>
      <c r="K100">
        <v>0.437</v>
      </c>
      <c r="L100">
        <v>0.51799999999999902</v>
      </c>
      <c r="M100">
        <v>0.48199999999999998</v>
      </c>
      <c r="N100">
        <v>0.67333333333333301</v>
      </c>
      <c r="O100">
        <v>0.52866666666666595</v>
      </c>
      <c r="P100">
        <v>0.43866666666666598</v>
      </c>
      <c r="Q100">
        <v>0.67866666666666597</v>
      </c>
      <c r="R100">
        <v>0.60260133333333299</v>
      </c>
      <c r="S100">
        <v>0.56338666666666604</v>
      </c>
      <c r="T100">
        <v>0.46468592563099997</v>
      </c>
      <c r="U100">
        <v>0.474843810586</v>
      </c>
      <c r="V100">
        <v>0.65611333333333299</v>
      </c>
      <c r="W100">
        <v>0.57777666666666605</v>
      </c>
      <c r="X100">
        <v>15.749000000000001</v>
      </c>
      <c r="Y100">
        <v>15.837999999999999</v>
      </c>
      <c r="Z100">
        <v>16.899000000000001</v>
      </c>
      <c r="AA100">
        <v>17.510000000000002</v>
      </c>
      <c r="AB100">
        <v>17.065000000000001</v>
      </c>
      <c r="AC100">
        <v>19.814</v>
      </c>
      <c r="AD100">
        <v>18.574999999999999</v>
      </c>
      <c r="AE100">
        <v>17.207000000000001</v>
      </c>
      <c r="AF100">
        <v>18.085999999999999</v>
      </c>
      <c r="AG100">
        <v>16.911999999999999</v>
      </c>
      <c r="AH100">
        <v>19.943999999999999</v>
      </c>
      <c r="AI100">
        <v>18.585999999999999</v>
      </c>
      <c r="AJ100">
        <v>16.416999999999899</v>
      </c>
      <c r="AK100">
        <v>20.050999999999998</v>
      </c>
      <c r="AL100">
        <v>20.525407999999999</v>
      </c>
      <c r="AM100">
        <v>18.597429999999999</v>
      </c>
      <c r="AN100">
        <v>17.379249989931999</v>
      </c>
      <c r="AO100">
        <v>17.579531464683999</v>
      </c>
      <c r="AP100">
        <v>21.259325</v>
      </c>
      <c r="AQ100">
        <v>20.619368000000001</v>
      </c>
      <c r="AR100">
        <v>228.11799999999999</v>
      </c>
      <c r="AS100">
        <v>383.56799999999998</v>
      </c>
      <c r="AT100">
        <v>410.34500000000003</v>
      </c>
      <c r="AU100">
        <v>425.98200000000003</v>
      </c>
      <c r="AV100">
        <v>484.17599999999999</v>
      </c>
      <c r="AW100">
        <v>994.24400000000003</v>
      </c>
      <c r="AX100">
        <v>634.87599999999998</v>
      </c>
      <c r="AY100">
        <v>304.60199999999998</v>
      </c>
      <c r="AZ100">
        <v>342.12200000000001</v>
      </c>
      <c r="BA100">
        <v>169.05699999999999</v>
      </c>
      <c r="BB100">
        <v>785.52499999999998</v>
      </c>
      <c r="BC100">
        <v>525.00900000000001</v>
      </c>
      <c r="BD100">
        <v>311.43799999999999</v>
      </c>
      <c r="BE100">
        <v>976.76400000000001</v>
      </c>
      <c r="BF100">
        <v>636.43295999999998</v>
      </c>
      <c r="BG100">
        <v>618.52611999999999</v>
      </c>
      <c r="BH100">
        <v>464.44508969885499</v>
      </c>
      <c r="BI100">
        <v>471.49762967982798</v>
      </c>
      <c r="BJ100">
        <v>671.51264999999898</v>
      </c>
      <c r="BK100">
        <v>598.94514800000002</v>
      </c>
      <c r="BL100" cm="1">
        <f t="array" ref="BL100">INDEX(R100:W100,0,MATCH($A100,$R$1:$W$1,0))</f>
        <v>0.46468592563099997</v>
      </c>
      <c r="BM100" cm="1">
        <f t="array" ref="BM100">INDEX(AL100:AQ100,0,MATCH($A100,$R$1:$W$1,0))</f>
        <v>17.379249989931999</v>
      </c>
      <c r="BN100" cm="1">
        <f t="array" ref="BN100">INDEX(BF100:BK100,0,MATCH($A100,$R$1:$W$1,0))</f>
        <v>464.44508969885499</v>
      </c>
    </row>
    <row r="101" spans="1:66" x14ac:dyDescent="0.35">
      <c r="A101" t="s">
        <v>66</v>
      </c>
      <c r="B101">
        <v>559021</v>
      </c>
      <c r="C101">
        <v>2014</v>
      </c>
      <c r="D101">
        <v>0.39133333333333298</v>
      </c>
      <c r="E101">
        <v>0.38999999999999901</v>
      </c>
      <c r="F101">
        <v>0.45333333333333298</v>
      </c>
      <c r="G101">
        <v>0.417333333333333</v>
      </c>
      <c r="H101">
        <v>0.42066666666666602</v>
      </c>
      <c r="I101">
        <v>0.58433333333333304</v>
      </c>
      <c r="J101">
        <v>0.587666666666666</v>
      </c>
      <c r="K101">
        <v>0.437</v>
      </c>
      <c r="L101">
        <v>0.51799999999999902</v>
      </c>
      <c r="M101">
        <v>0.48199999999999998</v>
      </c>
      <c r="N101">
        <v>0.67333333333333301</v>
      </c>
      <c r="O101">
        <v>0.52866666666666595</v>
      </c>
      <c r="P101">
        <v>0.43866666666666598</v>
      </c>
      <c r="Q101">
        <v>0.67866666666666597</v>
      </c>
      <c r="R101">
        <v>0.60260133333333299</v>
      </c>
      <c r="S101">
        <v>0.56338666666666604</v>
      </c>
      <c r="T101">
        <v>0.46468592563099997</v>
      </c>
      <c r="U101">
        <v>0.474843810586</v>
      </c>
      <c r="V101">
        <v>0.65611333333333299</v>
      </c>
      <c r="W101">
        <v>0.57777666666666605</v>
      </c>
      <c r="X101">
        <v>15.749000000000001</v>
      </c>
      <c r="Y101">
        <v>15.837999999999999</v>
      </c>
      <c r="Z101">
        <v>16.899000000000001</v>
      </c>
      <c r="AA101">
        <v>17.510000000000002</v>
      </c>
      <c r="AB101">
        <v>17.065000000000001</v>
      </c>
      <c r="AC101">
        <v>19.814</v>
      </c>
      <c r="AD101">
        <v>18.574999999999999</v>
      </c>
      <c r="AE101">
        <v>17.207000000000001</v>
      </c>
      <c r="AF101">
        <v>18.085999999999999</v>
      </c>
      <c r="AG101">
        <v>16.911999999999999</v>
      </c>
      <c r="AH101">
        <v>19.943999999999999</v>
      </c>
      <c r="AI101">
        <v>18.585999999999999</v>
      </c>
      <c r="AJ101">
        <v>16.416999999999899</v>
      </c>
      <c r="AK101">
        <v>20.050999999999998</v>
      </c>
      <c r="AL101">
        <v>20.525407999999999</v>
      </c>
      <c r="AM101">
        <v>18.597429999999999</v>
      </c>
      <c r="AN101">
        <v>17.379249989931999</v>
      </c>
      <c r="AO101">
        <v>17.579531464683999</v>
      </c>
      <c r="AP101">
        <v>21.259325</v>
      </c>
      <c r="AQ101">
        <v>20.619368000000001</v>
      </c>
      <c r="AR101">
        <v>228.11799999999999</v>
      </c>
      <c r="AS101">
        <v>383.56799999999998</v>
      </c>
      <c r="AT101">
        <v>410.34500000000003</v>
      </c>
      <c r="AU101">
        <v>425.98200000000003</v>
      </c>
      <c r="AV101">
        <v>484.17599999999999</v>
      </c>
      <c r="AW101">
        <v>994.24400000000003</v>
      </c>
      <c r="AX101">
        <v>634.87599999999998</v>
      </c>
      <c r="AY101">
        <v>304.60199999999998</v>
      </c>
      <c r="AZ101">
        <v>342.12200000000001</v>
      </c>
      <c r="BA101">
        <v>169.05699999999999</v>
      </c>
      <c r="BB101">
        <v>785.52499999999998</v>
      </c>
      <c r="BC101">
        <v>525.00900000000001</v>
      </c>
      <c r="BD101">
        <v>311.43799999999999</v>
      </c>
      <c r="BE101">
        <v>976.76400000000001</v>
      </c>
      <c r="BF101">
        <v>636.43295999999998</v>
      </c>
      <c r="BG101">
        <v>618.52611999999999</v>
      </c>
      <c r="BH101">
        <v>464.44508969885499</v>
      </c>
      <c r="BI101">
        <v>471.49762967982798</v>
      </c>
      <c r="BJ101">
        <v>671.51264999999898</v>
      </c>
      <c r="BK101">
        <v>598.94514800000002</v>
      </c>
      <c r="BL101" cm="1">
        <f t="array" ref="BL101">INDEX(R101:W101,0,MATCH($A101,$R$1:$W$1,0))</f>
        <v>0.65611333333333299</v>
      </c>
      <c r="BM101" cm="1">
        <f t="array" ref="BM101">INDEX(AL101:AQ101,0,MATCH($A101,$R$1:$W$1,0))</f>
        <v>21.259325</v>
      </c>
      <c r="BN101" cm="1">
        <f t="array" ref="BN101">INDEX(BF101:BK101,0,MATCH($A101,$R$1:$W$1,0))</f>
        <v>671.51264999999898</v>
      </c>
    </row>
    <row r="102" spans="1:66" x14ac:dyDescent="0.35">
      <c r="A102" t="s">
        <v>67</v>
      </c>
      <c r="B102">
        <v>102323</v>
      </c>
      <c r="C102">
        <v>2014</v>
      </c>
      <c r="D102">
        <v>0.39133333333333298</v>
      </c>
      <c r="E102">
        <v>0.38999999999999901</v>
      </c>
      <c r="F102">
        <v>0.45333333333333298</v>
      </c>
      <c r="G102">
        <v>0.417333333333333</v>
      </c>
      <c r="H102">
        <v>0.42066666666666602</v>
      </c>
      <c r="I102">
        <v>0.58433333333333304</v>
      </c>
      <c r="J102">
        <v>0.587666666666666</v>
      </c>
      <c r="K102">
        <v>0.437</v>
      </c>
      <c r="L102">
        <v>0.51799999999999902</v>
      </c>
      <c r="M102">
        <v>0.48199999999999998</v>
      </c>
      <c r="N102">
        <v>0.67333333333333301</v>
      </c>
      <c r="O102">
        <v>0.52866666666666595</v>
      </c>
      <c r="P102">
        <v>0.43866666666666598</v>
      </c>
      <c r="Q102">
        <v>0.67866666666666597</v>
      </c>
      <c r="R102">
        <v>0.60260133333333299</v>
      </c>
      <c r="S102">
        <v>0.56338666666666604</v>
      </c>
      <c r="T102">
        <v>0.46468592563099997</v>
      </c>
      <c r="U102">
        <v>0.474843810586</v>
      </c>
      <c r="V102">
        <v>0.65611333333333299</v>
      </c>
      <c r="W102">
        <v>0.57777666666666605</v>
      </c>
      <c r="X102">
        <v>15.749000000000001</v>
      </c>
      <c r="Y102">
        <v>15.837999999999999</v>
      </c>
      <c r="Z102">
        <v>16.899000000000001</v>
      </c>
      <c r="AA102">
        <v>17.510000000000002</v>
      </c>
      <c r="AB102">
        <v>17.065000000000001</v>
      </c>
      <c r="AC102">
        <v>19.814</v>
      </c>
      <c r="AD102">
        <v>18.574999999999999</v>
      </c>
      <c r="AE102">
        <v>17.207000000000001</v>
      </c>
      <c r="AF102">
        <v>18.085999999999999</v>
      </c>
      <c r="AG102">
        <v>16.911999999999999</v>
      </c>
      <c r="AH102">
        <v>19.943999999999999</v>
      </c>
      <c r="AI102">
        <v>18.585999999999999</v>
      </c>
      <c r="AJ102">
        <v>16.416999999999899</v>
      </c>
      <c r="AK102">
        <v>20.050999999999998</v>
      </c>
      <c r="AL102">
        <v>20.525407999999999</v>
      </c>
      <c r="AM102">
        <v>18.597429999999999</v>
      </c>
      <c r="AN102">
        <v>17.379249989931999</v>
      </c>
      <c r="AO102">
        <v>17.579531464683999</v>
      </c>
      <c r="AP102">
        <v>21.259325</v>
      </c>
      <c r="AQ102">
        <v>20.619368000000001</v>
      </c>
      <c r="AR102">
        <v>228.11799999999999</v>
      </c>
      <c r="AS102">
        <v>383.56799999999998</v>
      </c>
      <c r="AT102">
        <v>410.34500000000003</v>
      </c>
      <c r="AU102">
        <v>425.98200000000003</v>
      </c>
      <c r="AV102">
        <v>484.17599999999999</v>
      </c>
      <c r="AW102">
        <v>994.24400000000003</v>
      </c>
      <c r="AX102">
        <v>634.87599999999998</v>
      </c>
      <c r="AY102">
        <v>304.60199999999998</v>
      </c>
      <c r="AZ102">
        <v>342.12200000000001</v>
      </c>
      <c r="BA102">
        <v>169.05699999999999</v>
      </c>
      <c r="BB102">
        <v>785.52499999999998</v>
      </c>
      <c r="BC102">
        <v>525.00900000000001</v>
      </c>
      <c r="BD102">
        <v>311.43799999999999</v>
      </c>
      <c r="BE102">
        <v>976.76400000000001</v>
      </c>
      <c r="BF102">
        <v>636.43295999999998</v>
      </c>
      <c r="BG102">
        <v>618.52611999999999</v>
      </c>
      <c r="BH102">
        <v>464.44508969885499</v>
      </c>
      <c r="BI102">
        <v>471.49762967982798</v>
      </c>
      <c r="BJ102">
        <v>671.51264999999898</v>
      </c>
      <c r="BK102">
        <v>598.94514800000002</v>
      </c>
      <c r="BL102" cm="1">
        <f t="array" ref="BL102">INDEX(R102:W102,0,MATCH($A102,$R$1:$W$1,0))</f>
        <v>0.57777666666666605</v>
      </c>
      <c r="BM102" cm="1">
        <f t="array" ref="BM102">INDEX(AL102:AQ102,0,MATCH($A102,$R$1:$W$1,0))</f>
        <v>20.619368000000001</v>
      </c>
      <c r="BN102" cm="1">
        <f t="array" ref="BN102">INDEX(BF102:BK102,0,MATCH($A102,$R$1:$W$1,0))</f>
        <v>598.94514800000002</v>
      </c>
    </row>
    <row r="103" spans="1:66" x14ac:dyDescent="0.35">
      <c r="A103" t="s">
        <v>63</v>
      </c>
      <c r="B103">
        <v>1050042</v>
      </c>
      <c r="C103">
        <v>2015</v>
      </c>
      <c r="D103">
        <v>0.50566666666666604</v>
      </c>
      <c r="E103">
        <v>0.54599999999999904</v>
      </c>
      <c r="F103">
        <v>0.60866666666666602</v>
      </c>
      <c r="G103">
        <v>0.68266666666666598</v>
      </c>
      <c r="H103">
        <v>0.71399999999999997</v>
      </c>
      <c r="I103">
        <v>0.72399999999999898</v>
      </c>
      <c r="J103">
        <v>0.74633333333333296</v>
      </c>
      <c r="K103">
        <v>0.50233333333333297</v>
      </c>
      <c r="L103">
        <v>0.64033333333333298</v>
      </c>
      <c r="M103">
        <v>0.60366666666666602</v>
      </c>
      <c r="N103">
        <v>0.69533333333333303</v>
      </c>
      <c r="O103">
        <v>0.73066666666666602</v>
      </c>
      <c r="P103">
        <v>0.56100000000000005</v>
      </c>
      <c r="Q103">
        <v>0.64733333333333298</v>
      </c>
      <c r="R103">
        <v>0.76844933333333298</v>
      </c>
      <c r="S103">
        <v>0.73706000000000005</v>
      </c>
      <c r="T103">
        <v>0.65167111076433304</v>
      </c>
      <c r="U103">
        <v>0.66244428696066604</v>
      </c>
      <c r="V103">
        <v>0.76710666666666605</v>
      </c>
      <c r="W103">
        <v>0.77479399999999898</v>
      </c>
      <c r="X103">
        <v>16.236000000000001</v>
      </c>
      <c r="Y103">
        <v>16.971</v>
      </c>
      <c r="Z103">
        <v>16.948</v>
      </c>
      <c r="AA103">
        <v>17.324999999999999</v>
      </c>
      <c r="AB103">
        <v>17.157</v>
      </c>
      <c r="AC103">
        <v>18.190000000000001</v>
      </c>
      <c r="AD103">
        <v>17.166</v>
      </c>
      <c r="AE103">
        <v>17.332000000000001</v>
      </c>
      <c r="AF103">
        <v>18.704000000000001</v>
      </c>
      <c r="AG103">
        <v>18.652000000000001</v>
      </c>
      <c r="AH103">
        <v>18.244</v>
      </c>
      <c r="AI103">
        <v>19.212</v>
      </c>
      <c r="AJ103">
        <v>16.908999999999999</v>
      </c>
      <c r="AK103">
        <v>19.484000000000002</v>
      </c>
      <c r="AL103">
        <v>20.002255999999999</v>
      </c>
      <c r="AM103">
        <v>17.757580000000001</v>
      </c>
      <c r="AN103">
        <v>17.274726656525999</v>
      </c>
      <c r="AO103">
        <v>17.409098607566001</v>
      </c>
      <c r="AP103">
        <v>20.7913</v>
      </c>
      <c r="AQ103">
        <v>20.343765999999999</v>
      </c>
      <c r="AR103">
        <v>628.62199999999996</v>
      </c>
      <c r="AS103">
        <v>591.52099999999996</v>
      </c>
      <c r="AT103">
        <v>693.06500000000005</v>
      </c>
      <c r="AU103">
        <v>580.17700000000002</v>
      </c>
      <c r="AV103">
        <v>716.005</v>
      </c>
      <c r="AW103">
        <v>1368.28</v>
      </c>
      <c r="AX103">
        <v>921.15800000000002</v>
      </c>
      <c r="AY103">
        <v>420.47899999999998</v>
      </c>
      <c r="AZ103">
        <v>471.53</v>
      </c>
      <c r="BA103">
        <v>309.863</v>
      </c>
      <c r="BB103">
        <v>1108.433</v>
      </c>
      <c r="BC103">
        <v>692.77800000000002</v>
      </c>
      <c r="BD103">
        <v>580.95000000000005</v>
      </c>
      <c r="BE103">
        <v>1336.0170000000001</v>
      </c>
      <c r="BF103">
        <v>928.97533799999997</v>
      </c>
      <c r="BG103">
        <v>873.66249000000005</v>
      </c>
      <c r="BH103">
        <v>690.16504732063095</v>
      </c>
      <c r="BI103">
        <v>695.90131880407603</v>
      </c>
      <c r="BJ103">
        <v>976.33866499999999</v>
      </c>
      <c r="BK103">
        <v>860.06059200000004</v>
      </c>
      <c r="BL103" cm="1">
        <f t="array" ref="BL103">INDEX(R103:W103,0,MATCH($A103,$R$1:$W$1,0))</f>
        <v>0.66244428696066604</v>
      </c>
      <c r="BM103" cm="1">
        <f t="array" ref="BM103">INDEX(AL103:AQ103,0,MATCH($A103,$R$1:$W$1,0))</f>
        <v>17.409098607566001</v>
      </c>
      <c r="BN103" cm="1">
        <f t="array" ref="BN103">INDEX(BF103:BK103,0,MATCH($A103,$R$1:$W$1,0))</f>
        <v>695.90131880407603</v>
      </c>
    </row>
    <row r="104" spans="1:66" x14ac:dyDescent="0.35">
      <c r="A104" t="s">
        <v>64</v>
      </c>
      <c r="B104">
        <v>304296</v>
      </c>
      <c r="C104">
        <v>2015</v>
      </c>
      <c r="D104">
        <v>0.50566666666666604</v>
      </c>
      <c r="E104">
        <v>0.54599999999999904</v>
      </c>
      <c r="F104">
        <v>0.60866666666666602</v>
      </c>
      <c r="G104">
        <v>0.68266666666666598</v>
      </c>
      <c r="H104">
        <v>0.71399999999999997</v>
      </c>
      <c r="I104">
        <v>0.72399999999999898</v>
      </c>
      <c r="J104">
        <v>0.74633333333333296</v>
      </c>
      <c r="K104">
        <v>0.50233333333333297</v>
      </c>
      <c r="L104">
        <v>0.64033333333333298</v>
      </c>
      <c r="M104">
        <v>0.60366666666666602</v>
      </c>
      <c r="N104">
        <v>0.69533333333333303</v>
      </c>
      <c r="O104">
        <v>0.73066666666666602</v>
      </c>
      <c r="P104">
        <v>0.56100000000000005</v>
      </c>
      <c r="Q104">
        <v>0.64733333333333298</v>
      </c>
      <c r="R104">
        <v>0.76844933333333298</v>
      </c>
      <c r="S104">
        <v>0.73706000000000005</v>
      </c>
      <c r="T104">
        <v>0.65167111076433304</v>
      </c>
      <c r="U104">
        <v>0.66244428696066604</v>
      </c>
      <c r="V104">
        <v>0.76710666666666605</v>
      </c>
      <c r="W104">
        <v>0.77479399999999898</v>
      </c>
      <c r="X104">
        <v>16.236000000000001</v>
      </c>
      <c r="Y104">
        <v>16.971</v>
      </c>
      <c r="Z104">
        <v>16.948</v>
      </c>
      <c r="AA104">
        <v>17.324999999999999</v>
      </c>
      <c r="AB104">
        <v>17.157</v>
      </c>
      <c r="AC104">
        <v>18.190000000000001</v>
      </c>
      <c r="AD104">
        <v>17.166</v>
      </c>
      <c r="AE104">
        <v>17.332000000000001</v>
      </c>
      <c r="AF104">
        <v>18.704000000000001</v>
      </c>
      <c r="AG104">
        <v>18.652000000000001</v>
      </c>
      <c r="AH104">
        <v>18.244</v>
      </c>
      <c r="AI104">
        <v>19.212</v>
      </c>
      <c r="AJ104">
        <v>16.908999999999999</v>
      </c>
      <c r="AK104">
        <v>19.484000000000002</v>
      </c>
      <c r="AL104">
        <v>20.002255999999999</v>
      </c>
      <c r="AM104">
        <v>17.757580000000001</v>
      </c>
      <c r="AN104">
        <v>17.274726656525999</v>
      </c>
      <c r="AO104">
        <v>17.409098607566001</v>
      </c>
      <c r="AP104">
        <v>20.7913</v>
      </c>
      <c r="AQ104">
        <v>20.343765999999999</v>
      </c>
      <c r="AR104">
        <v>628.62199999999996</v>
      </c>
      <c r="AS104">
        <v>591.52099999999996</v>
      </c>
      <c r="AT104">
        <v>693.06500000000005</v>
      </c>
      <c r="AU104">
        <v>580.17700000000002</v>
      </c>
      <c r="AV104">
        <v>716.005</v>
      </c>
      <c r="AW104">
        <v>1368.28</v>
      </c>
      <c r="AX104">
        <v>921.15800000000002</v>
      </c>
      <c r="AY104">
        <v>420.47899999999998</v>
      </c>
      <c r="AZ104">
        <v>471.53</v>
      </c>
      <c r="BA104">
        <v>309.863</v>
      </c>
      <c r="BB104">
        <v>1108.433</v>
      </c>
      <c r="BC104">
        <v>692.77800000000002</v>
      </c>
      <c r="BD104">
        <v>580.95000000000005</v>
      </c>
      <c r="BE104">
        <v>1336.0170000000001</v>
      </c>
      <c r="BF104">
        <v>928.97533799999997</v>
      </c>
      <c r="BG104">
        <v>873.66249000000005</v>
      </c>
      <c r="BH104">
        <v>690.16504732063095</v>
      </c>
      <c r="BI104">
        <v>695.90131880407603</v>
      </c>
      <c r="BJ104">
        <v>976.33866499999999</v>
      </c>
      <c r="BK104">
        <v>860.06059200000004</v>
      </c>
      <c r="BL104" cm="1">
        <f t="array" ref="BL104">INDEX(R104:W104,0,MATCH($A104,$R$1:$W$1,0))</f>
        <v>0.76844933333333298</v>
      </c>
      <c r="BM104" cm="1">
        <f t="array" ref="BM104">INDEX(AL104:AQ104,0,MATCH($A104,$R$1:$W$1,0))</f>
        <v>20.002255999999999</v>
      </c>
      <c r="BN104" cm="1">
        <f t="array" ref="BN104">INDEX(BF104:BK104,0,MATCH($A104,$R$1:$W$1,0))</f>
        <v>928.97533799999997</v>
      </c>
    </row>
    <row r="105" spans="1:66" x14ac:dyDescent="0.35">
      <c r="A105" t="s">
        <v>65</v>
      </c>
      <c r="B105">
        <v>749874</v>
      </c>
      <c r="C105">
        <v>2015</v>
      </c>
      <c r="D105">
        <v>0.50566666666666604</v>
      </c>
      <c r="E105">
        <v>0.54599999999999904</v>
      </c>
      <c r="F105">
        <v>0.60866666666666602</v>
      </c>
      <c r="G105">
        <v>0.68266666666666598</v>
      </c>
      <c r="H105">
        <v>0.71399999999999997</v>
      </c>
      <c r="I105">
        <v>0.72399999999999898</v>
      </c>
      <c r="J105">
        <v>0.74633333333333296</v>
      </c>
      <c r="K105">
        <v>0.50233333333333297</v>
      </c>
      <c r="L105">
        <v>0.64033333333333298</v>
      </c>
      <c r="M105">
        <v>0.60366666666666602</v>
      </c>
      <c r="N105">
        <v>0.69533333333333303</v>
      </c>
      <c r="O105">
        <v>0.73066666666666602</v>
      </c>
      <c r="P105">
        <v>0.56100000000000005</v>
      </c>
      <c r="Q105">
        <v>0.64733333333333298</v>
      </c>
      <c r="R105">
        <v>0.76844933333333298</v>
      </c>
      <c r="S105">
        <v>0.73706000000000005</v>
      </c>
      <c r="T105">
        <v>0.65167111076433304</v>
      </c>
      <c r="U105">
        <v>0.66244428696066604</v>
      </c>
      <c r="V105">
        <v>0.76710666666666605</v>
      </c>
      <c r="W105">
        <v>0.77479399999999898</v>
      </c>
      <c r="X105">
        <v>16.236000000000001</v>
      </c>
      <c r="Y105">
        <v>16.971</v>
      </c>
      <c r="Z105">
        <v>16.948</v>
      </c>
      <c r="AA105">
        <v>17.324999999999999</v>
      </c>
      <c r="AB105">
        <v>17.157</v>
      </c>
      <c r="AC105">
        <v>18.190000000000001</v>
      </c>
      <c r="AD105">
        <v>17.166</v>
      </c>
      <c r="AE105">
        <v>17.332000000000001</v>
      </c>
      <c r="AF105">
        <v>18.704000000000001</v>
      </c>
      <c r="AG105">
        <v>18.652000000000001</v>
      </c>
      <c r="AH105">
        <v>18.244</v>
      </c>
      <c r="AI105">
        <v>19.212</v>
      </c>
      <c r="AJ105">
        <v>16.908999999999999</v>
      </c>
      <c r="AK105">
        <v>19.484000000000002</v>
      </c>
      <c r="AL105">
        <v>20.002255999999999</v>
      </c>
      <c r="AM105">
        <v>17.757580000000001</v>
      </c>
      <c r="AN105">
        <v>17.274726656525999</v>
      </c>
      <c r="AO105">
        <v>17.409098607566001</v>
      </c>
      <c r="AP105">
        <v>20.7913</v>
      </c>
      <c r="AQ105">
        <v>20.343765999999999</v>
      </c>
      <c r="AR105">
        <v>628.62199999999996</v>
      </c>
      <c r="AS105">
        <v>591.52099999999996</v>
      </c>
      <c r="AT105">
        <v>693.06500000000005</v>
      </c>
      <c r="AU105">
        <v>580.17700000000002</v>
      </c>
      <c r="AV105">
        <v>716.005</v>
      </c>
      <c r="AW105">
        <v>1368.28</v>
      </c>
      <c r="AX105">
        <v>921.15800000000002</v>
      </c>
      <c r="AY105">
        <v>420.47899999999998</v>
      </c>
      <c r="AZ105">
        <v>471.53</v>
      </c>
      <c r="BA105">
        <v>309.863</v>
      </c>
      <c r="BB105">
        <v>1108.433</v>
      </c>
      <c r="BC105">
        <v>692.77800000000002</v>
      </c>
      <c r="BD105">
        <v>580.95000000000005</v>
      </c>
      <c r="BE105">
        <v>1336.0170000000001</v>
      </c>
      <c r="BF105">
        <v>928.97533799999997</v>
      </c>
      <c r="BG105">
        <v>873.66249000000005</v>
      </c>
      <c r="BH105">
        <v>690.16504732063095</v>
      </c>
      <c r="BI105">
        <v>695.90131880407603</v>
      </c>
      <c r="BJ105">
        <v>976.33866499999999</v>
      </c>
      <c r="BK105">
        <v>860.06059200000004</v>
      </c>
      <c r="BL105" cm="1">
        <f t="array" ref="BL105">INDEX(R105:W105,0,MATCH($A105,$R$1:$W$1,0))</f>
        <v>0.65167111076433304</v>
      </c>
      <c r="BM105" cm="1">
        <f t="array" ref="BM105">INDEX(AL105:AQ105,0,MATCH($A105,$R$1:$W$1,0))</f>
        <v>17.274726656525999</v>
      </c>
      <c r="BN105" cm="1">
        <f t="array" ref="BN105">INDEX(BF105:BK105,0,MATCH($A105,$R$1:$W$1,0))</f>
        <v>690.16504732063095</v>
      </c>
    </row>
    <row r="106" spans="1:66" x14ac:dyDescent="0.35">
      <c r="A106" t="s">
        <v>66</v>
      </c>
      <c r="B106">
        <v>906348</v>
      </c>
      <c r="C106">
        <v>2015</v>
      </c>
      <c r="D106">
        <v>0.50566666666666604</v>
      </c>
      <c r="E106">
        <v>0.54599999999999904</v>
      </c>
      <c r="F106">
        <v>0.60866666666666602</v>
      </c>
      <c r="G106">
        <v>0.68266666666666598</v>
      </c>
      <c r="H106">
        <v>0.71399999999999997</v>
      </c>
      <c r="I106">
        <v>0.72399999999999898</v>
      </c>
      <c r="J106">
        <v>0.74633333333333296</v>
      </c>
      <c r="K106">
        <v>0.50233333333333297</v>
      </c>
      <c r="L106">
        <v>0.64033333333333298</v>
      </c>
      <c r="M106">
        <v>0.60366666666666602</v>
      </c>
      <c r="N106">
        <v>0.69533333333333303</v>
      </c>
      <c r="O106">
        <v>0.73066666666666602</v>
      </c>
      <c r="P106">
        <v>0.56100000000000005</v>
      </c>
      <c r="Q106">
        <v>0.64733333333333298</v>
      </c>
      <c r="R106">
        <v>0.76844933333333298</v>
      </c>
      <c r="S106">
        <v>0.73706000000000005</v>
      </c>
      <c r="T106">
        <v>0.65167111076433304</v>
      </c>
      <c r="U106">
        <v>0.66244428696066604</v>
      </c>
      <c r="V106">
        <v>0.76710666666666605</v>
      </c>
      <c r="W106">
        <v>0.77479399999999898</v>
      </c>
      <c r="X106">
        <v>16.236000000000001</v>
      </c>
      <c r="Y106">
        <v>16.971</v>
      </c>
      <c r="Z106">
        <v>16.948</v>
      </c>
      <c r="AA106">
        <v>17.324999999999999</v>
      </c>
      <c r="AB106">
        <v>17.157</v>
      </c>
      <c r="AC106">
        <v>18.190000000000001</v>
      </c>
      <c r="AD106">
        <v>17.166</v>
      </c>
      <c r="AE106">
        <v>17.332000000000001</v>
      </c>
      <c r="AF106">
        <v>18.704000000000001</v>
      </c>
      <c r="AG106">
        <v>18.652000000000001</v>
      </c>
      <c r="AH106">
        <v>18.244</v>
      </c>
      <c r="AI106">
        <v>19.212</v>
      </c>
      <c r="AJ106">
        <v>16.908999999999999</v>
      </c>
      <c r="AK106">
        <v>19.484000000000002</v>
      </c>
      <c r="AL106">
        <v>20.002255999999999</v>
      </c>
      <c r="AM106">
        <v>17.757580000000001</v>
      </c>
      <c r="AN106">
        <v>17.274726656525999</v>
      </c>
      <c r="AO106">
        <v>17.409098607566001</v>
      </c>
      <c r="AP106">
        <v>20.7913</v>
      </c>
      <c r="AQ106">
        <v>20.343765999999999</v>
      </c>
      <c r="AR106">
        <v>628.62199999999996</v>
      </c>
      <c r="AS106">
        <v>591.52099999999996</v>
      </c>
      <c r="AT106">
        <v>693.06500000000005</v>
      </c>
      <c r="AU106">
        <v>580.17700000000002</v>
      </c>
      <c r="AV106">
        <v>716.005</v>
      </c>
      <c r="AW106">
        <v>1368.28</v>
      </c>
      <c r="AX106">
        <v>921.15800000000002</v>
      </c>
      <c r="AY106">
        <v>420.47899999999998</v>
      </c>
      <c r="AZ106">
        <v>471.53</v>
      </c>
      <c r="BA106">
        <v>309.863</v>
      </c>
      <c r="BB106">
        <v>1108.433</v>
      </c>
      <c r="BC106">
        <v>692.77800000000002</v>
      </c>
      <c r="BD106">
        <v>580.95000000000005</v>
      </c>
      <c r="BE106">
        <v>1336.0170000000001</v>
      </c>
      <c r="BF106">
        <v>928.97533799999997</v>
      </c>
      <c r="BG106">
        <v>873.66249000000005</v>
      </c>
      <c r="BH106">
        <v>690.16504732063095</v>
      </c>
      <c r="BI106">
        <v>695.90131880407603</v>
      </c>
      <c r="BJ106">
        <v>976.33866499999999</v>
      </c>
      <c r="BK106">
        <v>860.06059200000004</v>
      </c>
      <c r="BL106" cm="1">
        <f t="array" ref="BL106">INDEX(R106:W106,0,MATCH($A106,$R$1:$W$1,0))</f>
        <v>0.76710666666666605</v>
      </c>
      <c r="BM106" cm="1">
        <f t="array" ref="BM106">INDEX(AL106:AQ106,0,MATCH($A106,$R$1:$W$1,0))</f>
        <v>20.7913</v>
      </c>
      <c r="BN106" cm="1">
        <f t="array" ref="BN106">INDEX(BF106:BK106,0,MATCH($A106,$R$1:$W$1,0))</f>
        <v>976.33866499999999</v>
      </c>
    </row>
    <row r="107" spans="1:66" x14ac:dyDescent="0.35">
      <c r="A107" t="s">
        <v>67</v>
      </c>
      <c r="B107">
        <v>188500</v>
      </c>
      <c r="C107">
        <v>2015</v>
      </c>
      <c r="D107">
        <v>0.50566666666666604</v>
      </c>
      <c r="E107">
        <v>0.54599999999999904</v>
      </c>
      <c r="F107">
        <v>0.60866666666666602</v>
      </c>
      <c r="G107">
        <v>0.68266666666666598</v>
      </c>
      <c r="H107">
        <v>0.71399999999999997</v>
      </c>
      <c r="I107">
        <v>0.72399999999999898</v>
      </c>
      <c r="J107">
        <v>0.74633333333333296</v>
      </c>
      <c r="K107">
        <v>0.50233333333333297</v>
      </c>
      <c r="L107">
        <v>0.64033333333333298</v>
      </c>
      <c r="M107">
        <v>0.60366666666666602</v>
      </c>
      <c r="N107">
        <v>0.69533333333333303</v>
      </c>
      <c r="O107">
        <v>0.73066666666666602</v>
      </c>
      <c r="P107">
        <v>0.56100000000000005</v>
      </c>
      <c r="Q107">
        <v>0.64733333333333298</v>
      </c>
      <c r="R107">
        <v>0.76844933333333298</v>
      </c>
      <c r="S107">
        <v>0.73706000000000005</v>
      </c>
      <c r="T107">
        <v>0.65167111076433304</v>
      </c>
      <c r="U107">
        <v>0.66244428696066604</v>
      </c>
      <c r="V107">
        <v>0.76710666666666605</v>
      </c>
      <c r="W107">
        <v>0.77479399999999898</v>
      </c>
      <c r="X107">
        <v>16.236000000000001</v>
      </c>
      <c r="Y107">
        <v>16.971</v>
      </c>
      <c r="Z107">
        <v>16.948</v>
      </c>
      <c r="AA107">
        <v>17.324999999999999</v>
      </c>
      <c r="AB107">
        <v>17.157</v>
      </c>
      <c r="AC107">
        <v>18.190000000000001</v>
      </c>
      <c r="AD107">
        <v>17.166</v>
      </c>
      <c r="AE107">
        <v>17.332000000000001</v>
      </c>
      <c r="AF107">
        <v>18.704000000000001</v>
      </c>
      <c r="AG107">
        <v>18.652000000000001</v>
      </c>
      <c r="AH107">
        <v>18.244</v>
      </c>
      <c r="AI107">
        <v>19.212</v>
      </c>
      <c r="AJ107">
        <v>16.908999999999999</v>
      </c>
      <c r="AK107">
        <v>19.484000000000002</v>
      </c>
      <c r="AL107">
        <v>20.002255999999999</v>
      </c>
      <c r="AM107">
        <v>17.757580000000001</v>
      </c>
      <c r="AN107">
        <v>17.274726656525999</v>
      </c>
      <c r="AO107">
        <v>17.409098607566001</v>
      </c>
      <c r="AP107">
        <v>20.7913</v>
      </c>
      <c r="AQ107">
        <v>20.343765999999999</v>
      </c>
      <c r="AR107">
        <v>628.62199999999996</v>
      </c>
      <c r="AS107">
        <v>591.52099999999996</v>
      </c>
      <c r="AT107">
        <v>693.06500000000005</v>
      </c>
      <c r="AU107">
        <v>580.17700000000002</v>
      </c>
      <c r="AV107">
        <v>716.005</v>
      </c>
      <c r="AW107">
        <v>1368.28</v>
      </c>
      <c r="AX107">
        <v>921.15800000000002</v>
      </c>
      <c r="AY107">
        <v>420.47899999999998</v>
      </c>
      <c r="AZ107">
        <v>471.53</v>
      </c>
      <c r="BA107">
        <v>309.863</v>
      </c>
      <c r="BB107">
        <v>1108.433</v>
      </c>
      <c r="BC107">
        <v>692.77800000000002</v>
      </c>
      <c r="BD107">
        <v>580.95000000000005</v>
      </c>
      <c r="BE107">
        <v>1336.0170000000001</v>
      </c>
      <c r="BF107">
        <v>928.97533799999997</v>
      </c>
      <c r="BG107">
        <v>873.66249000000005</v>
      </c>
      <c r="BH107">
        <v>690.16504732063095</v>
      </c>
      <c r="BI107">
        <v>695.90131880407603</v>
      </c>
      <c r="BJ107">
        <v>976.33866499999999</v>
      </c>
      <c r="BK107">
        <v>860.06059200000004</v>
      </c>
      <c r="BL107" cm="1">
        <f t="array" ref="BL107">INDEX(R107:W107,0,MATCH($A107,$R$1:$W$1,0))</f>
        <v>0.77479399999999898</v>
      </c>
      <c r="BM107" cm="1">
        <f t="array" ref="BM107">INDEX(AL107:AQ107,0,MATCH($A107,$R$1:$W$1,0))</f>
        <v>20.343765999999999</v>
      </c>
      <c r="BN107" cm="1">
        <f t="array" ref="BN107">INDEX(BF107:BK107,0,MATCH($A107,$R$1:$W$1,0))</f>
        <v>860.06059200000004</v>
      </c>
    </row>
    <row r="108" spans="1:66" x14ac:dyDescent="0.35">
      <c r="A108" t="s">
        <v>63</v>
      </c>
      <c r="B108">
        <v>719000</v>
      </c>
      <c r="C108">
        <v>2016</v>
      </c>
      <c r="D108">
        <v>0.42899999999999999</v>
      </c>
      <c r="E108">
        <v>0.48666666666666603</v>
      </c>
      <c r="F108">
        <v>0.5</v>
      </c>
      <c r="G108">
        <v>0.53</v>
      </c>
      <c r="H108">
        <v>0.474333333333333</v>
      </c>
      <c r="I108">
        <v>0.584666666666666</v>
      </c>
      <c r="J108">
        <v>0.54766666666666597</v>
      </c>
      <c r="K108">
        <v>0.501</v>
      </c>
      <c r="L108">
        <v>0.56533333333333302</v>
      </c>
      <c r="M108">
        <v>0.580666666666666</v>
      </c>
      <c r="N108">
        <v>0.629</v>
      </c>
      <c r="O108">
        <v>0.545333333333333</v>
      </c>
      <c r="P108">
        <v>0.497</v>
      </c>
      <c r="Q108">
        <v>0.64066666666666605</v>
      </c>
      <c r="R108">
        <v>0.61439666666666604</v>
      </c>
      <c r="S108">
        <v>0.54849999999999999</v>
      </c>
      <c r="T108">
        <v>0.516634814503666</v>
      </c>
      <c r="U108">
        <v>0.52043381064266603</v>
      </c>
      <c r="V108">
        <v>0.66320666666666594</v>
      </c>
      <c r="W108">
        <v>0.61886333333333299</v>
      </c>
      <c r="X108">
        <v>16.536999999999999</v>
      </c>
      <c r="Y108">
        <v>17.956</v>
      </c>
      <c r="Z108">
        <v>17.09</v>
      </c>
      <c r="AA108">
        <v>17.765999999999998</v>
      </c>
      <c r="AB108">
        <v>17.076999999999899</v>
      </c>
      <c r="AC108">
        <v>19.547000000000001</v>
      </c>
      <c r="AD108">
        <v>18.302</v>
      </c>
      <c r="AE108">
        <v>18.574999999999999</v>
      </c>
      <c r="AF108">
        <v>19.247</v>
      </c>
      <c r="AG108">
        <v>20.164999999999999</v>
      </c>
      <c r="AH108">
        <v>20.536999999999999</v>
      </c>
      <c r="AI108">
        <v>18.984999999999999</v>
      </c>
      <c r="AJ108">
        <v>18.431000000000001</v>
      </c>
      <c r="AK108">
        <v>20.448</v>
      </c>
      <c r="AL108">
        <v>21.012124</v>
      </c>
      <c r="AM108">
        <v>18.530750000000001</v>
      </c>
      <c r="AN108">
        <v>17.907674433783999</v>
      </c>
      <c r="AO108">
        <v>18.020811466982</v>
      </c>
      <c r="AP108">
        <v>22.314045</v>
      </c>
      <c r="AQ108">
        <v>21.188046</v>
      </c>
      <c r="AR108">
        <v>396.97899999999998</v>
      </c>
      <c r="AS108">
        <v>442.221</v>
      </c>
      <c r="AT108">
        <v>515.86800000000005</v>
      </c>
      <c r="AU108">
        <v>497.214</v>
      </c>
      <c r="AV108">
        <v>500.34100000000001</v>
      </c>
      <c r="AW108">
        <v>1204.009</v>
      </c>
      <c r="AX108">
        <v>723.46</v>
      </c>
      <c r="AY108">
        <v>359.24</v>
      </c>
      <c r="AZ108">
        <v>518.86500000000001</v>
      </c>
      <c r="BA108">
        <v>254.04900000000001</v>
      </c>
      <c r="BB108">
        <v>869.88900000000001</v>
      </c>
      <c r="BC108">
        <v>591.18100000000004</v>
      </c>
      <c r="BD108">
        <v>420.72899999999998</v>
      </c>
      <c r="BE108">
        <v>940.63900000000001</v>
      </c>
      <c r="BF108">
        <v>725.88822000000005</v>
      </c>
      <c r="BG108">
        <v>707.14399000000003</v>
      </c>
      <c r="BH108">
        <v>536.46741296505104</v>
      </c>
      <c r="BI108">
        <v>546.766687036186</v>
      </c>
      <c r="BJ108">
        <v>755.36564499999997</v>
      </c>
      <c r="BK108">
        <v>688.31205399999999</v>
      </c>
      <c r="BL108" cm="1">
        <f t="array" ref="BL108">INDEX(R108:W108,0,MATCH($A108,$R$1:$W$1,0))</f>
        <v>0.52043381064266603</v>
      </c>
      <c r="BM108" cm="1">
        <f t="array" ref="BM108">INDEX(AL108:AQ108,0,MATCH($A108,$R$1:$W$1,0))</f>
        <v>18.020811466982</v>
      </c>
      <c r="BN108" cm="1">
        <f t="array" ref="BN108">INDEX(BF108:BK108,0,MATCH($A108,$R$1:$W$1,0))</f>
        <v>546.766687036186</v>
      </c>
    </row>
    <row r="109" spans="1:66" x14ac:dyDescent="0.35">
      <c r="A109" t="s">
        <v>64</v>
      </c>
      <c r="B109">
        <v>400462</v>
      </c>
      <c r="C109">
        <v>2016</v>
      </c>
      <c r="D109">
        <v>0.42899999999999999</v>
      </c>
      <c r="E109">
        <v>0.48666666666666603</v>
      </c>
      <c r="F109">
        <v>0.5</v>
      </c>
      <c r="G109">
        <v>0.53</v>
      </c>
      <c r="H109">
        <v>0.474333333333333</v>
      </c>
      <c r="I109">
        <v>0.584666666666666</v>
      </c>
      <c r="J109">
        <v>0.54766666666666597</v>
      </c>
      <c r="K109">
        <v>0.501</v>
      </c>
      <c r="L109">
        <v>0.56533333333333302</v>
      </c>
      <c r="M109">
        <v>0.580666666666666</v>
      </c>
      <c r="N109">
        <v>0.629</v>
      </c>
      <c r="O109">
        <v>0.545333333333333</v>
      </c>
      <c r="P109">
        <v>0.497</v>
      </c>
      <c r="Q109">
        <v>0.64066666666666605</v>
      </c>
      <c r="R109">
        <v>0.61439666666666604</v>
      </c>
      <c r="S109">
        <v>0.54849999999999999</v>
      </c>
      <c r="T109">
        <v>0.516634814503666</v>
      </c>
      <c r="U109">
        <v>0.52043381064266603</v>
      </c>
      <c r="V109">
        <v>0.66320666666666594</v>
      </c>
      <c r="W109">
        <v>0.61886333333333299</v>
      </c>
      <c r="X109">
        <v>16.536999999999999</v>
      </c>
      <c r="Y109">
        <v>17.956</v>
      </c>
      <c r="Z109">
        <v>17.09</v>
      </c>
      <c r="AA109">
        <v>17.765999999999998</v>
      </c>
      <c r="AB109">
        <v>17.076999999999899</v>
      </c>
      <c r="AC109">
        <v>19.547000000000001</v>
      </c>
      <c r="AD109">
        <v>18.302</v>
      </c>
      <c r="AE109">
        <v>18.574999999999999</v>
      </c>
      <c r="AF109">
        <v>19.247</v>
      </c>
      <c r="AG109">
        <v>20.164999999999999</v>
      </c>
      <c r="AH109">
        <v>20.536999999999999</v>
      </c>
      <c r="AI109">
        <v>18.984999999999999</v>
      </c>
      <c r="AJ109">
        <v>18.431000000000001</v>
      </c>
      <c r="AK109">
        <v>20.448</v>
      </c>
      <c r="AL109">
        <v>21.012124</v>
      </c>
      <c r="AM109">
        <v>18.530750000000001</v>
      </c>
      <c r="AN109">
        <v>17.907674433783999</v>
      </c>
      <c r="AO109">
        <v>18.020811466982</v>
      </c>
      <c r="AP109">
        <v>22.314045</v>
      </c>
      <c r="AQ109">
        <v>21.188046</v>
      </c>
      <c r="AR109">
        <v>396.97899999999998</v>
      </c>
      <c r="AS109">
        <v>442.221</v>
      </c>
      <c r="AT109">
        <v>515.86800000000005</v>
      </c>
      <c r="AU109">
        <v>497.214</v>
      </c>
      <c r="AV109">
        <v>500.34100000000001</v>
      </c>
      <c r="AW109">
        <v>1204.009</v>
      </c>
      <c r="AX109">
        <v>723.46</v>
      </c>
      <c r="AY109">
        <v>359.24</v>
      </c>
      <c r="AZ109">
        <v>518.86500000000001</v>
      </c>
      <c r="BA109">
        <v>254.04900000000001</v>
      </c>
      <c r="BB109">
        <v>869.88900000000001</v>
      </c>
      <c r="BC109">
        <v>591.18100000000004</v>
      </c>
      <c r="BD109">
        <v>420.72899999999998</v>
      </c>
      <c r="BE109">
        <v>940.63900000000001</v>
      </c>
      <c r="BF109">
        <v>725.88822000000005</v>
      </c>
      <c r="BG109">
        <v>707.14399000000003</v>
      </c>
      <c r="BH109">
        <v>536.46741296505104</v>
      </c>
      <c r="BI109">
        <v>546.766687036186</v>
      </c>
      <c r="BJ109">
        <v>755.36564499999997</v>
      </c>
      <c r="BK109">
        <v>688.31205399999999</v>
      </c>
      <c r="BL109" cm="1">
        <f t="array" ref="BL109">INDEX(R109:W109,0,MATCH($A109,$R$1:$W$1,0))</f>
        <v>0.61439666666666604</v>
      </c>
      <c r="BM109" cm="1">
        <f t="array" ref="BM109">INDEX(AL109:AQ109,0,MATCH($A109,$R$1:$W$1,0))</f>
        <v>21.012124</v>
      </c>
      <c r="BN109" cm="1">
        <f t="array" ref="BN109">INDEX(BF109:BK109,0,MATCH($A109,$R$1:$W$1,0))</f>
        <v>725.88822000000005</v>
      </c>
    </row>
    <row r="110" spans="1:66" x14ac:dyDescent="0.35">
      <c r="A110" t="s">
        <v>65</v>
      </c>
      <c r="B110">
        <v>698643</v>
      </c>
      <c r="C110">
        <v>2016</v>
      </c>
      <c r="D110">
        <v>0.42899999999999999</v>
      </c>
      <c r="E110">
        <v>0.48666666666666603</v>
      </c>
      <c r="F110">
        <v>0.5</v>
      </c>
      <c r="G110">
        <v>0.53</v>
      </c>
      <c r="H110">
        <v>0.474333333333333</v>
      </c>
      <c r="I110">
        <v>0.584666666666666</v>
      </c>
      <c r="J110">
        <v>0.54766666666666597</v>
      </c>
      <c r="K110">
        <v>0.501</v>
      </c>
      <c r="L110">
        <v>0.56533333333333302</v>
      </c>
      <c r="M110">
        <v>0.580666666666666</v>
      </c>
      <c r="N110">
        <v>0.629</v>
      </c>
      <c r="O110">
        <v>0.545333333333333</v>
      </c>
      <c r="P110">
        <v>0.497</v>
      </c>
      <c r="Q110">
        <v>0.64066666666666605</v>
      </c>
      <c r="R110">
        <v>0.61439666666666604</v>
      </c>
      <c r="S110">
        <v>0.54849999999999999</v>
      </c>
      <c r="T110">
        <v>0.516634814503666</v>
      </c>
      <c r="U110">
        <v>0.52043381064266603</v>
      </c>
      <c r="V110">
        <v>0.66320666666666594</v>
      </c>
      <c r="W110">
        <v>0.61886333333333299</v>
      </c>
      <c r="X110">
        <v>16.536999999999999</v>
      </c>
      <c r="Y110">
        <v>17.956</v>
      </c>
      <c r="Z110">
        <v>17.09</v>
      </c>
      <c r="AA110">
        <v>17.765999999999998</v>
      </c>
      <c r="AB110">
        <v>17.076999999999899</v>
      </c>
      <c r="AC110">
        <v>19.547000000000001</v>
      </c>
      <c r="AD110">
        <v>18.302</v>
      </c>
      <c r="AE110">
        <v>18.574999999999999</v>
      </c>
      <c r="AF110">
        <v>19.247</v>
      </c>
      <c r="AG110">
        <v>20.164999999999999</v>
      </c>
      <c r="AH110">
        <v>20.536999999999999</v>
      </c>
      <c r="AI110">
        <v>18.984999999999999</v>
      </c>
      <c r="AJ110">
        <v>18.431000000000001</v>
      </c>
      <c r="AK110">
        <v>20.448</v>
      </c>
      <c r="AL110">
        <v>21.012124</v>
      </c>
      <c r="AM110">
        <v>18.530750000000001</v>
      </c>
      <c r="AN110">
        <v>17.907674433783999</v>
      </c>
      <c r="AO110">
        <v>18.020811466982</v>
      </c>
      <c r="AP110">
        <v>22.314045</v>
      </c>
      <c r="AQ110">
        <v>21.188046</v>
      </c>
      <c r="AR110">
        <v>396.97899999999998</v>
      </c>
      <c r="AS110">
        <v>442.221</v>
      </c>
      <c r="AT110">
        <v>515.86800000000005</v>
      </c>
      <c r="AU110">
        <v>497.214</v>
      </c>
      <c r="AV110">
        <v>500.34100000000001</v>
      </c>
      <c r="AW110">
        <v>1204.009</v>
      </c>
      <c r="AX110">
        <v>723.46</v>
      </c>
      <c r="AY110">
        <v>359.24</v>
      </c>
      <c r="AZ110">
        <v>518.86500000000001</v>
      </c>
      <c r="BA110">
        <v>254.04900000000001</v>
      </c>
      <c r="BB110">
        <v>869.88900000000001</v>
      </c>
      <c r="BC110">
        <v>591.18100000000004</v>
      </c>
      <c r="BD110">
        <v>420.72899999999998</v>
      </c>
      <c r="BE110">
        <v>940.63900000000001</v>
      </c>
      <c r="BF110">
        <v>725.88822000000005</v>
      </c>
      <c r="BG110">
        <v>707.14399000000003</v>
      </c>
      <c r="BH110">
        <v>536.46741296505104</v>
      </c>
      <c r="BI110">
        <v>546.766687036186</v>
      </c>
      <c r="BJ110">
        <v>755.36564499999997</v>
      </c>
      <c r="BK110">
        <v>688.31205399999999</v>
      </c>
      <c r="BL110" cm="1">
        <f t="array" ref="BL110">INDEX(R110:W110,0,MATCH($A110,$R$1:$W$1,0))</f>
        <v>0.516634814503666</v>
      </c>
      <c r="BM110" cm="1">
        <f t="array" ref="BM110">INDEX(AL110:AQ110,0,MATCH($A110,$R$1:$W$1,0))</f>
        <v>17.907674433783999</v>
      </c>
      <c r="BN110" cm="1">
        <f t="array" ref="BN110">INDEX(BF110:BK110,0,MATCH($A110,$R$1:$W$1,0))</f>
        <v>536.46741296505104</v>
      </c>
    </row>
    <row r="111" spans="1:66" x14ac:dyDescent="0.35">
      <c r="A111" t="s">
        <v>66</v>
      </c>
      <c r="B111">
        <v>950779</v>
      </c>
      <c r="C111">
        <v>2016</v>
      </c>
      <c r="D111">
        <v>0.42899999999999999</v>
      </c>
      <c r="E111">
        <v>0.48666666666666603</v>
      </c>
      <c r="F111">
        <v>0.5</v>
      </c>
      <c r="G111">
        <v>0.53</v>
      </c>
      <c r="H111">
        <v>0.474333333333333</v>
      </c>
      <c r="I111">
        <v>0.584666666666666</v>
      </c>
      <c r="J111">
        <v>0.54766666666666597</v>
      </c>
      <c r="K111">
        <v>0.501</v>
      </c>
      <c r="L111">
        <v>0.56533333333333302</v>
      </c>
      <c r="M111">
        <v>0.580666666666666</v>
      </c>
      <c r="N111">
        <v>0.629</v>
      </c>
      <c r="O111">
        <v>0.545333333333333</v>
      </c>
      <c r="P111">
        <v>0.497</v>
      </c>
      <c r="Q111">
        <v>0.64066666666666605</v>
      </c>
      <c r="R111">
        <v>0.61439666666666604</v>
      </c>
      <c r="S111">
        <v>0.54849999999999999</v>
      </c>
      <c r="T111">
        <v>0.516634814503666</v>
      </c>
      <c r="U111">
        <v>0.52043381064266603</v>
      </c>
      <c r="V111">
        <v>0.66320666666666594</v>
      </c>
      <c r="W111">
        <v>0.61886333333333299</v>
      </c>
      <c r="X111">
        <v>16.536999999999999</v>
      </c>
      <c r="Y111">
        <v>17.956</v>
      </c>
      <c r="Z111">
        <v>17.09</v>
      </c>
      <c r="AA111">
        <v>17.765999999999998</v>
      </c>
      <c r="AB111">
        <v>17.076999999999899</v>
      </c>
      <c r="AC111">
        <v>19.547000000000001</v>
      </c>
      <c r="AD111">
        <v>18.302</v>
      </c>
      <c r="AE111">
        <v>18.574999999999999</v>
      </c>
      <c r="AF111">
        <v>19.247</v>
      </c>
      <c r="AG111">
        <v>20.164999999999999</v>
      </c>
      <c r="AH111">
        <v>20.536999999999999</v>
      </c>
      <c r="AI111">
        <v>18.984999999999999</v>
      </c>
      <c r="AJ111">
        <v>18.431000000000001</v>
      </c>
      <c r="AK111">
        <v>20.448</v>
      </c>
      <c r="AL111">
        <v>21.012124</v>
      </c>
      <c r="AM111">
        <v>18.530750000000001</v>
      </c>
      <c r="AN111">
        <v>17.907674433783999</v>
      </c>
      <c r="AO111">
        <v>18.020811466982</v>
      </c>
      <c r="AP111">
        <v>22.314045</v>
      </c>
      <c r="AQ111">
        <v>21.188046</v>
      </c>
      <c r="AR111">
        <v>396.97899999999998</v>
      </c>
      <c r="AS111">
        <v>442.221</v>
      </c>
      <c r="AT111">
        <v>515.86800000000005</v>
      </c>
      <c r="AU111">
        <v>497.214</v>
      </c>
      <c r="AV111">
        <v>500.34100000000001</v>
      </c>
      <c r="AW111">
        <v>1204.009</v>
      </c>
      <c r="AX111">
        <v>723.46</v>
      </c>
      <c r="AY111">
        <v>359.24</v>
      </c>
      <c r="AZ111">
        <v>518.86500000000001</v>
      </c>
      <c r="BA111">
        <v>254.04900000000001</v>
      </c>
      <c r="BB111">
        <v>869.88900000000001</v>
      </c>
      <c r="BC111">
        <v>591.18100000000004</v>
      </c>
      <c r="BD111">
        <v>420.72899999999998</v>
      </c>
      <c r="BE111">
        <v>940.63900000000001</v>
      </c>
      <c r="BF111">
        <v>725.88822000000005</v>
      </c>
      <c r="BG111">
        <v>707.14399000000003</v>
      </c>
      <c r="BH111">
        <v>536.46741296505104</v>
      </c>
      <c r="BI111">
        <v>546.766687036186</v>
      </c>
      <c r="BJ111">
        <v>755.36564499999997</v>
      </c>
      <c r="BK111">
        <v>688.31205399999999</v>
      </c>
      <c r="BL111" cm="1">
        <f t="array" ref="BL111">INDEX(R111:W111,0,MATCH($A111,$R$1:$W$1,0))</f>
        <v>0.66320666666666594</v>
      </c>
      <c r="BM111" cm="1">
        <f t="array" ref="BM111">INDEX(AL111:AQ111,0,MATCH($A111,$R$1:$W$1,0))</f>
        <v>22.314045</v>
      </c>
      <c r="BN111" cm="1">
        <f t="array" ref="BN111">INDEX(BF111:BK111,0,MATCH($A111,$R$1:$W$1,0))</f>
        <v>755.36564499999997</v>
      </c>
    </row>
    <row r="112" spans="1:66" x14ac:dyDescent="0.35">
      <c r="A112" t="s">
        <v>67</v>
      </c>
      <c r="B112">
        <v>193452</v>
      </c>
      <c r="C112">
        <v>2016</v>
      </c>
      <c r="D112">
        <v>0.42899999999999999</v>
      </c>
      <c r="E112">
        <v>0.48666666666666603</v>
      </c>
      <c r="F112">
        <v>0.5</v>
      </c>
      <c r="G112">
        <v>0.53</v>
      </c>
      <c r="H112">
        <v>0.474333333333333</v>
      </c>
      <c r="I112">
        <v>0.584666666666666</v>
      </c>
      <c r="J112">
        <v>0.54766666666666597</v>
      </c>
      <c r="K112">
        <v>0.501</v>
      </c>
      <c r="L112">
        <v>0.56533333333333302</v>
      </c>
      <c r="M112">
        <v>0.580666666666666</v>
      </c>
      <c r="N112">
        <v>0.629</v>
      </c>
      <c r="O112">
        <v>0.545333333333333</v>
      </c>
      <c r="P112">
        <v>0.497</v>
      </c>
      <c r="Q112">
        <v>0.64066666666666605</v>
      </c>
      <c r="R112">
        <v>0.61439666666666604</v>
      </c>
      <c r="S112">
        <v>0.54849999999999999</v>
      </c>
      <c r="T112">
        <v>0.516634814503666</v>
      </c>
      <c r="U112">
        <v>0.52043381064266603</v>
      </c>
      <c r="V112">
        <v>0.66320666666666594</v>
      </c>
      <c r="W112">
        <v>0.61886333333333299</v>
      </c>
      <c r="X112">
        <v>16.536999999999999</v>
      </c>
      <c r="Y112">
        <v>17.956</v>
      </c>
      <c r="Z112">
        <v>17.09</v>
      </c>
      <c r="AA112">
        <v>17.765999999999998</v>
      </c>
      <c r="AB112">
        <v>17.076999999999899</v>
      </c>
      <c r="AC112">
        <v>19.547000000000001</v>
      </c>
      <c r="AD112">
        <v>18.302</v>
      </c>
      <c r="AE112">
        <v>18.574999999999999</v>
      </c>
      <c r="AF112">
        <v>19.247</v>
      </c>
      <c r="AG112">
        <v>20.164999999999999</v>
      </c>
      <c r="AH112">
        <v>20.536999999999999</v>
      </c>
      <c r="AI112">
        <v>18.984999999999999</v>
      </c>
      <c r="AJ112">
        <v>18.431000000000001</v>
      </c>
      <c r="AK112">
        <v>20.448</v>
      </c>
      <c r="AL112">
        <v>21.012124</v>
      </c>
      <c r="AM112">
        <v>18.530750000000001</v>
      </c>
      <c r="AN112">
        <v>17.907674433783999</v>
      </c>
      <c r="AO112">
        <v>18.020811466982</v>
      </c>
      <c r="AP112">
        <v>22.314045</v>
      </c>
      <c r="AQ112">
        <v>21.188046</v>
      </c>
      <c r="AR112">
        <v>396.97899999999998</v>
      </c>
      <c r="AS112">
        <v>442.221</v>
      </c>
      <c r="AT112">
        <v>515.86800000000005</v>
      </c>
      <c r="AU112">
        <v>497.214</v>
      </c>
      <c r="AV112">
        <v>500.34100000000001</v>
      </c>
      <c r="AW112">
        <v>1204.009</v>
      </c>
      <c r="AX112">
        <v>723.46</v>
      </c>
      <c r="AY112">
        <v>359.24</v>
      </c>
      <c r="AZ112">
        <v>518.86500000000001</v>
      </c>
      <c r="BA112">
        <v>254.04900000000001</v>
      </c>
      <c r="BB112">
        <v>869.88900000000001</v>
      </c>
      <c r="BC112">
        <v>591.18100000000004</v>
      </c>
      <c r="BD112">
        <v>420.72899999999998</v>
      </c>
      <c r="BE112">
        <v>940.63900000000001</v>
      </c>
      <c r="BF112">
        <v>725.88822000000005</v>
      </c>
      <c r="BG112">
        <v>707.14399000000003</v>
      </c>
      <c r="BH112">
        <v>536.46741296505104</v>
      </c>
      <c r="BI112">
        <v>546.766687036186</v>
      </c>
      <c r="BJ112">
        <v>755.36564499999997</v>
      </c>
      <c r="BK112">
        <v>688.31205399999999</v>
      </c>
      <c r="BL112" cm="1">
        <f t="array" ref="BL112">INDEX(R112:W112,0,MATCH($A112,$R$1:$W$1,0))</f>
        <v>0.61886333333333299</v>
      </c>
      <c r="BM112" cm="1">
        <f t="array" ref="BM112">INDEX(AL112:AQ112,0,MATCH($A112,$R$1:$W$1,0))</f>
        <v>21.188046</v>
      </c>
      <c r="BN112" cm="1">
        <f t="array" ref="BN112">INDEX(BF112:BK112,0,MATCH($A112,$R$1:$W$1,0))</f>
        <v>688.31205399999999</v>
      </c>
    </row>
    <row r="113" spans="1:66" x14ac:dyDescent="0.35">
      <c r="A113" t="s">
        <v>63</v>
      </c>
      <c r="B113">
        <v>1405223</v>
      </c>
      <c r="C113">
        <v>2017</v>
      </c>
      <c r="D113">
        <v>0.36699999999999999</v>
      </c>
      <c r="E113">
        <v>0.35566666666666602</v>
      </c>
      <c r="F113">
        <v>0.351333333333333</v>
      </c>
      <c r="G113">
        <v>0.37666666666666598</v>
      </c>
      <c r="H113">
        <v>0.32166666666666599</v>
      </c>
      <c r="I113">
        <v>0.53566666666666596</v>
      </c>
      <c r="J113">
        <v>0.53966666666666596</v>
      </c>
      <c r="K113">
        <v>0.34433333333333299</v>
      </c>
      <c r="L113">
        <v>0.50466666666666604</v>
      </c>
      <c r="M113">
        <v>0.42366666666666603</v>
      </c>
      <c r="N113">
        <v>0.542333333333333</v>
      </c>
      <c r="O113">
        <v>0.51500000000000001</v>
      </c>
      <c r="P113">
        <v>0.390666666666666</v>
      </c>
      <c r="Q113">
        <v>0.60333333333333306</v>
      </c>
      <c r="R113">
        <v>0.52181333333333302</v>
      </c>
      <c r="S113">
        <v>0.52295666666666596</v>
      </c>
      <c r="T113">
        <v>0.39487148121100002</v>
      </c>
      <c r="U113">
        <v>0.41184190571399998</v>
      </c>
      <c r="V113">
        <v>0.5726</v>
      </c>
      <c r="W113">
        <v>0.51186799999999999</v>
      </c>
      <c r="X113">
        <v>16.085999999999999</v>
      </c>
      <c r="Y113">
        <v>18.824000000000002</v>
      </c>
      <c r="Z113">
        <v>17.727</v>
      </c>
      <c r="AA113">
        <v>18.817</v>
      </c>
      <c r="AB113">
        <v>17.736000000000001</v>
      </c>
      <c r="AC113">
        <v>19.263000000000002</v>
      </c>
      <c r="AD113">
        <v>18.472999999999999</v>
      </c>
      <c r="AE113">
        <v>18.202000000000002</v>
      </c>
      <c r="AF113">
        <v>19.965</v>
      </c>
      <c r="AG113">
        <v>17.690000000000001</v>
      </c>
      <c r="AH113">
        <v>20.123000000000001</v>
      </c>
      <c r="AI113">
        <v>19.725999999999999</v>
      </c>
      <c r="AJ113">
        <v>18.942</v>
      </c>
      <c r="AK113">
        <v>19.521000000000001</v>
      </c>
      <c r="AL113">
        <v>21.188110000000002</v>
      </c>
      <c r="AM113">
        <v>18.85998</v>
      </c>
      <c r="AN113">
        <v>18.473715545274999</v>
      </c>
      <c r="AO113">
        <v>18.473968608991999</v>
      </c>
      <c r="AP113">
        <v>21.66582</v>
      </c>
      <c r="AQ113">
        <v>21.56766</v>
      </c>
      <c r="AR113">
        <v>383.59800000000001</v>
      </c>
      <c r="AS113">
        <v>606.20699999999999</v>
      </c>
      <c r="AT113">
        <v>598.89699999999903</v>
      </c>
      <c r="AU113">
        <v>741.98400000000004</v>
      </c>
      <c r="AV113">
        <v>811.34299999999996</v>
      </c>
      <c r="AW113">
        <v>1154.2239999999999</v>
      </c>
      <c r="AX113">
        <v>884.08900000000006</v>
      </c>
      <c r="AY113">
        <v>442.08499999999998</v>
      </c>
      <c r="AZ113">
        <v>568.94600000000003</v>
      </c>
      <c r="BA113">
        <v>229.995</v>
      </c>
      <c r="BB113">
        <v>958.15099999999995</v>
      </c>
      <c r="BC113">
        <v>756.09100000000001</v>
      </c>
      <c r="BD113">
        <v>460.1</v>
      </c>
      <c r="BE113">
        <v>1069.5319999999999</v>
      </c>
      <c r="BF113">
        <v>882.40295200000003</v>
      </c>
      <c r="BG113">
        <v>861.20550999999898</v>
      </c>
      <c r="BH113">
        <v>706.14883184374503</v>
      </c>
      <c r="BI113">
        <v>711.70010284875798</v>
      </c>
      <c r="BJ113">
        <v>863.05267500000002</v>
      </c>
      <c r="BK113">
        <v>866.36104399999999</v>
      </c>
      <c r="BL113" cm="1">
        <f t="array" ref="BL113">INDEX(R113:W113,0,MATCH($A113,$R$1:$W$1,0))</f>
        <v>0.41184190571399998</v>
      </c>
      <c r="BM113" cm="1">
        <f t="array" ref="BM113">INDEX(AL113:AQ113,0,MATCH($A113,$R$1:$W$1,0))</f>
        <v>18.473968608991999</v>
      </c>
      <c r="BN113" cm="1">
        <f t="array" ref="BN113">INDEX(BF113:BK113,0,MATCH($A113,$R$1:$W$1,0))</f>
        <v>711.70010284875798</v>
      </c>
    </row>
    <row r="114" spans="1:66" x14ac:dyDescent="0.35">
      <c r="A114" t="s">
        <v>64</v>
      </c>
      <c r="B114">
        <v>410364</v>
      </c>
      <c r="C114">
        <v>2017</v>
      </c>
      <c r="D114">
        <v>0.36699999999999999</v>
      </c>
      <c r="E114">
        <v>0.35566666666666602</v>
      </c>
      <c r="F114">
        <v>0.351333333333333</v>
      </c>
      <c r="G114">
        <v>0.37666666666666598</v>
      </c>
      <c r="H114">
        <v>0.32166666666666599</v>
      </c>
      <c r="I114">
        <v>0.53566666666666596</v>
      </c>
      <c r="J114">
        <v>0.53966666666666596</v>
      </c>
      <c r="K114">
        <v>0.34433333333333299</v>
      </c>
      <c r="L114">
        <v>0.50466666666666604</v>
      </c>
      <c r="M114">
        <v>0.42366666666666603</v>
      </c>
      <c r="N114">
        <v>0.542333333333333</v>
      </c>
      <c r="O114">
        <v>0.51500000000000001</v>
      </c>
      <c r="P114">
        <v>0.390666666666666</v>
      </c>
      <c r="Q114">
        <v>0.60333333333333306</v>
      </c>
      <c r="R114">
        <v>0.52181333333333302</v>
      </c>
      <c r="S114">
        <v>0.52295666666666596</v>
      </c>
      <c r="T114">
        <v>0.39487148121100002</v>
      </c>
      <c r="U114">
        <v>0.41184190571399998</v>
      </c>
      <c r="V114">
        <v>0.5726</v>
      </c>
      <c r="W114">
        <v>0.51186799999999999</v>
      </c>
      <c r="X114">
        <v>16.085999999999999</v>
      </c>
      <c r="Y114">
        <v>18.824000000000002</v>
      </c>
      <c r="Z114">
        <v>17.727</v>
      </c>
      <c r="AA114">
        <v>18.817</v>
      </c>
      <c r="AB114">
        <v>17.736000000000001</v>
      </c>
      <c r="AC114">
        <v>19.263000000000002</v>
      </c>
      <c r="AD114">
        <v>18.472999999999999</v>
      </c>
      <c r="AE114">
        <v>18.202000000000002</v>
      </c>
      <c r="AF114">
        <v>19.965</v>
      </c>
      <c r="AG114">
        <v>17.690000000000001</v>
      </c>
      <c r="AH114">
        <v>20.123000000000001</v>
      </c>
      <c r="AI114">
        <v>19.725999999999999</v>
      </c>
      <c r="AJ114">
        <v>18.942</v>
      </c>
      <c r="AK114">
        <v>19.521000000000001</v>
      </c>
      <c r="AL114">
        <v>21.188110000000002</v>
      </c>
      <c r="AM114">
        <v>18.85998</v>
      </c>
      <c r="AN114">
        <v>18.473715545274999</v>
      </c>
      <c r="AO114">
        <v>18.473968608991999</v>
      </c>
      <c r="AP114">
        <v>21.66582</v>
      </c>
      <c r="AQ114">
        <v>21.56766</v>
      </c>
      <c r="AR114">
        <v>383.59800000000001</v>
      </c>
      <c r="AS114">
        <v>606.20699999999999</v>
      </c>
      <c r="AT114">
        <v>598.89699999999903</v>
      </c>
      <c r="AU114">
        <v>741.98400000000004</v>
      </c>
      <c r="AV114">
        <v>811.34299999999996</v>
      </c>
      <c r="AW114">
        <v>1154.2239999999999</v>
      </c>
      <c r="AX114">
        <v>884.08900000000006</v>
      </c>
      <c r="AY114">
        <v>442.08499999999998</v>
      </c>
      <c r="AZ114">
        <v>568.94600000000003</v>
      </c>
      <c r="BA114">
        <v>229.995</v>
      </c>
      <c r="BB114">
        <v>958.15099999999995</v>
      </c>
      <c r="BC114">
        <v>756.09100000000001</v>
      </c>
      <c r="BD114">
        <v>460.1</v>
      </c>
      <c r="BE114">
        <v>1069.5319999999999</v>
      </c>
      <c r="BF114">
        <v>882.40295200000003</v>
      </c>
      <c r="BG114">
        <v>861.20550999999898</v>
      </c>
      <c r="BH114">
        <v>706.14883184374503</v>
      </c>
      <c r="BI114">
        <v>711.70010284875798</v>
      </c>
      <c r="BJ114">
        <v>863.05267500000002</v>
      </c>
      <c r="BK114">
        <v>866.36104399999999</v>
      </c>
      <c r="BL114" cm="1">
        <f t="array" ref="BL114">INDEX(R114:W114,0,MATCH($A114,$R$1:$W$1,0))</f>
        <v>0.52181333333333302</v>
      </c>
      <c r="BM114" cm="1">
        <f t="array" ref="BM114">INDEX(AL114:AQ114,0,MATCH($A114,$R$1:$W$1,0))</f>
        <v>21.188110000000002</v>
      </c>
      <c r="BN114" cm="1">
        <f t="array" ref="BN114">INDEX(BF114:BK114,0,MATCH($A114,$R$1:$W$1,0))</f>
        <v>882.40295200000003</v>
      </c>
    </row>
    <row r="115" spans="1:66" x14ac:dyDescent="0.35">
      <c r="A115" t="s">
        <v>65</v>
      </c>
      <c r="B115">
        <v>875484</v>
      </c>
      <c r="C115">
        <v>2017</v>
      </c>
      <c r="D115">
        <v>0.36699999999999999</v>
      </c>
      <c r="E115">
        <v>0.35566666666666602</v>
      </c>
      <c r="F115">
        <v>0.351333333333333</v>
      </c>
      <c r="G115">
        <v>0.37666666666666598</v>
      </c>
      <c r="H115">
        <v>0.32166666666666599</v>
      </c>
      <c r="I115">
        <v>0.53566666666666596</v>
      </c>
      <c r="J115">
        <v>0.53966666666666596</v>
      </c>
      <c r="K115">
        <v>0.34433333333333299</v>
      </c>
      <c r="L115">
        <v>0.50466666666666604</v>
      </c>
      <c r="M115">
        <v>0.42366666666666603</v>
      </c>
      <c r="N115">
        <v>0.542333333333333</v>
      </c>
      <c r="O115">
        <v>0.51500000000000001</v>
      </c>
      <c r="P115">
        <v>0.390666666666666</v>
      </c>
      <c r="Q115">
        <v>0.60333333333333306</v>
      </c>
      <c r="R115">
        <v>0.52181333333333302</v>
      </c>
      <c r="S115">
        <v>0.52295666666666596</v>
      </c>
      <c r="T115">
        <v>0.39487148121100002</v>
      </c>
      <c r="U115">
        <v>0.41184190571399998</v>
      </c>
      <c r="V115">
        <v>0.5726</v>
      </c>
      <c r="W115">
        <v>0.51186799999999999</v>
      </c>
      <c r="X115">
        <v>16.085999999999999</v>
      </c>
      <c r="Y115">
        <v>18.824000000000002</v>
      </c>
      <c r="Z115">
        <v>17.727</v>
      </c>
      <c r="AA115">
        <v>18.817</v>
      </c>
      <c r="AB115">
        <v>17.736000000000001</v>
      </c>
      <c r="AC115">
        <v>19.263000000000002</v>
      </c>
      <c r="AD115">
        <v>18.472999999999999</v>
      </c>
      <c r="AE115">
        <v>18.202000000000002</v>
      </c>
      <c r="AF115">
        <v>19.965</v>
      </c>
      <c r="AG115">
        <v>17.690000000000001</v>
      </c>
      <c r="AH115">
        <v>20.123000000000001</v>
      </c>
      <c r="AI115">
        <v>19.725999999999999</v>
      </c>
      <c r="AJ115">
        <v>18.942</v>
      </c>
      <c r="AK115">
        <v>19.521000000000001</v>
      </c>
      <c r="AL115">
        <v>21.188110000000002</v>
      </c>
      <c r="AM115">
        <v>18.85998</v>
      </c>
      <c r="AN115">
        <v>18.473715545274999</v>
      </c>
      <c r="AO115">
        <v>18.473968608991999</v>
      </c>
      <c r="AP115">
        <v>21.66582</v>
      </c>
      <c r="AQ115">
        <v>21.56766</v>
      </c>
      <c r="AR115">
        <v>383.59800000000001</v>
      </c>
      <c r="AS115">
        <v>606.20699999999999</v>
      </c>
      <c r="AT115">
        <v>598.89699999999903</v>
      </c>
      <c r="AU115">
        <v>741.98400000000004</v>
      </c>
      <c r="AV115">
        <v>811.34299999999996</v>
      </c>
      <c r="AW115">
        <v>1154.2239999999999</v>
      </c>
      <c r="AX115">
        <v>884.08900000000006</v>
      </c>
      <c r="AY115">
        <v>442.08499999999998</v>
      </c>
      <c r="AZ115">
        <v>568.94600000000003</v>
      </c>
      <c r="BA115">
        <v>229.995</v>
      </c>
      <c r="BB115">
        <v>958.15099999999995</v>
      </c>
      <c r="BC115">
        <v>756.09100000000001</v>
      </c>
      <c r="BD115">
        <v>460.1</v>
      </c>
      <c r="BE115">
        <v>1069.5319999999999</v>
      </c>
      <c r="BF115">
        <v>882.40295200000003</v>
      </c>
      <c r="BG115">
        <v>861.20550999999898</v>
      </c>
      <c r="BH115">
        <v>706.14883184374503</v>
      </c>
      <c r="BI115">
        <v>711.70010284875798</v>
      </c>
      <c r="BJ115">
        <v>863.05267500000002</v>
      </c>
      <c r="BK115">
        <v>866.36104399999999</v>
      </c>
      <c r="BL115" cm="1">
        <f t="array" ref="BL115">INDEX(R115:W115,0,MATCH($A115,$R$1:$W$1,0))</f>
        <v>0.39487148121100002</v>
      </c>
      <c r="BM115" cm="1">
        <f t="array" ref="BM115">INDEX(AL115:AQ115,0,MATCH($A115,$R$1:$W$1,0))</f>
        <v>18.473715545274999</v>
      </c>
      <c r="BN115" cm="1">
        <f t="array" ref="BN115">INDEX(BF115:BK115,0,MATCH($A115,$R$1:$W$1,0))</f>
        <v>706.14883184374503</v>
      </c>
    </row>
    <row r="116" spans="1:66" x14ac:dyDescent="0.35">
      <c r="A116" t="s">
        <v>66</v>
      </c>
      <c r="B116">
        <v>1011269</v>
      </c>
      <c r="C116">
        <v>2017</v>
      </c>
      <c r="D116">
        <v>0.36699999999999999</v>
      </c>
      <c r="E116">
        <v>0.35566666666666602</v>
      </c>
      <c r="F116">
        <v>0.351333333333333</v>
      </c>
      <c r="G116">
        <v>0.37666666666666598</v>
      </c>
      <c r="H116">
        <v>0.32166666666666599</v>
      </c>
      <c r="I116">
        <v>0.53566666666666596</v>
      </c>
      <c r="J116">
        <v>0.53966666666666596</v>
      </c>
      <c r="K116">
        <v>0.34433333333333299</v>
      </c>
      <c r="L116">
        <v>0.50466666666666604</v>
      </c>
      <c r="M116">
        <v>0.42366666666666603</v>
      </c>
      <c r="N116">
        <v>0.542333333333333</v>
      </c>
      <c r="O116">
        <v>0.51500000000000001</v>
      </c>
      <c r="P116">
        <v>0.390666666666666</v>
      </c>
      <c r="Q116">
        <v>0.60333333333333306</v>
      </c>
      <c r="R116">
        <v>0.52181333333333302</v>
      </c>
      <c r="S116">
        <v>0.52295666666666596</v>
      </c>
      <c r="T116">
        <v>0.39487148121100002</v>
      </c>
      <c r="U116">
        <v>0.41184190571399998</v>
      </c>
      <c r="V116">
        <v>0.5726</v>
      </c>
      <c r="W116">
        <v>0.51186799999999999</v>
      </c>
      <c r="X116">
        <v>16.085999999999999</v>
      </c>
      <c r="Y116">
        <v>18.824000000000002</v>
      </c>
      <c r="Z116">
        <v>17.727</v>
      </c>
      <c r="AA116">
        <v>18.817</v>
      </c>
      <c r="AB116">
        <v>17.736000000000001</v>
      </c>
      <c r="AC116">
        <v>19.263000000000002</v>
      </c>
      <c r="AD116">
        <v>18.472999999999999</v>
      </c>
      <c r="AE116">
        <v>18.202000000000002</v>
      </c>
      <c r="AF116">
        <v>19.965</v>
      </c>
      <c r="AG116">
        <v>17.690000000000001</v>
      </c>
      <c r="AH116">
        <v>20.123000000000001</v>
      </c>
      <c r="AI116">
        <v>19.725999999999999</v>
      </c>
      <c r="AJ116">
        <v>18.942</v>
      </c>
      <c r="AK116">
        <v>19.521000000000001</v>
      </c>
      <c r="AL116">
        <v>21.188110000000002</v>
      </c>
      <c r="AM116">
        <v>18.85998</v>
      </c>
      <c r="AN116">
        <v>18.473715545274999</v>
      </c>
      <c r="AO116">
        <v>18.473968608991999</v>
      </c>
      <c r="AP116">
        <v>21.66582</v>
      </c>
      <c r="AQ116">
        <v>21.56766</v>
      </c>
      <c r="AR116">
        <v>383.59800000000001</v>
      </c>
      <c r="AS116">
        <v>606.20699999999999</v>
      </c>
      <c r="AT116">
        <v>598.89699999999903</v>
      </c>
      <c r="AU116">
        <v>741.98400000000004</v>
      </c>
      <c r="AV116">
        <v>811.34299999999996</v>
      </c>
      <c r="AW116">
        <v>1154.2239999999999</v>
      </c>
      <c r="AX116">
        <v>884.08900000000006</v>
      </c>
      <c r="AY116">
        <v>442.08499999999998</v>
      </c>
      <c r="AZ116">
        <v>568.94600000000003</v>
      </c>
      <c r="BA116">
        <v>229.995</v>
      </c>
      <c r="BB116">
        <v>958.15099999999995</v>
      </c>
      <c r="BC116">
        <v>756.09100000000001</v>
      </c>
      <c r="BD116">
        <v>460.1</v>
      </c>
      <c r="BE116">
        <v>1069.5319999999999</v>
      </c>
      <c r="BF116">
        <v>882.40295200000003</v>
      </c>
      <c r="BG116">
        <v>861.20550999999898</v>
      </c>
      <c r="BH116">
        <v>706.14883184374503</v>
      </c>
      <c r="BI116">
        <v>711.70010284875798</v>
      </c>
      <c r="BJ116">
        <v>863.05267500000002</v>
      </c>
      <c r="BK116">
        <v>866.36104399999999</v>
      </c>
      <c r="BL116" cm="1">
        <f t="array" ref="BL116">INDEX(R116:W116,0,MATCH($A116,$R$1:$W$1,0))</f>
        <v>0.5726</v>
      </c>
      <c r="BM116" cm="1">
        <f t="array" ref="BM116">INDEX(AL116:AQ116,0,MATCH($A116,$R$1:$W$1,0))</f>
        <v>21.66582</v>
      </c>
      <c r="BN116" cm="1">
        <f t="array" ref="BN116">INDEX(BF116:BK116,0,MATCH($A116,$R$1:$W$1,0))</f>
        <v>863.05267500000002</v>
      </c>
    </row>
    <row r="117" spans="1:66" x14ac:dyDescent="0.35">
      <c r="A117" t="s">
        <v>67</v>
      </c>
      <c r="B117">
        <v>215491</v>
      </c>
      <c r="C117">
        <v>2017</v>
      </c>
      <c r="D117">
        <v>0.36699999999999999</v>
      </c>
      <c r="E117">
        <v>0.35566666666666602</v>
      </c>
      <c r="F117">
        <v>0.351333333333333</v>
      </c>
      <c r="G117">
        <v>0.37666666666666598</v>
      </c>
      <c r="H117">
        <v>0.32166666666666599</v>
      </c>
      <c r="I117">
        <v>0.53566666666666596</v>
      </c>
      <c r="J117">
        <v>0.53966666666666596</v>
      </c>
      <c r="K117">
        <v>0.34433333333333299</v>
      </c>
      <c r="L117">
        <v>0.50466666666666604</v>
      </c>
      <c r="M117">
        <v>0.42366666666666603</v>
      </c>
      <c r="N117">
        <v>0.542333333333333</v>
      </c>
      <c r="O117">
        <v>0.51500000000000001</v>
      </c>
      <c r="P117">
        <v>0.390666666666666</v>
      </c>
      <c r="Q117">
        <v>0.60333333333333306</v>
      </c>
      <c r="R117">
        <v>0.52181333333333302</v>
      </c>
      <c r="S117">
        <v>0.52295666666666596</v>
      </c>
      <c r="T117">
        <v>0.39487148121100002</v>
      </c>
      <c r="U117">
        <v>0.41184190571399998</v>
      </c>
      <c r="V117">
        <v>0.5726</v>
      </c>
      <c r="W117">
        <v>0.51186799999999999</v>
      </c>
      <c r="X117">
        <v>16.085999999999999</v>
      </c>
      <c r="Y117">
        <v>18.824000000000002</v>
      </c>
      <c r="Z117">
        <v>17.727</v>
      </c>
      <c r="AA117">
        <v>18.817</v>
      </c>
      <c r="AB117">
        <v>17.736000000000001</v>
      </c>
      <c r="AC117">
        <v>19.263000000000002</v>
      </c>
      <c r="AD117">
        <v>18.472999999999999</v>
      </c>
      <c r="AE117">
        <v>18.202000000000002</v>
      </c>
      <c r="AF117">
        <v>19.965</v>
      </c>
      <c r="AG117">
        <v>17.690000000000001</v>
      </c>
      <c r="AH117">
        <v>20.123000000000001</v>
      </c>
      <c r="AI117">
        <v>19.725999999999999</v>
      </c>
      <c r="AJ117">
        <v>18.942</v>
      </c>
      <c r="AK117">
        <v>19.521000000000001</v>
      </c>
      <c r="AL117">
        <v>21.188110000000002</v>
      </c>
      <c r="AM117">
        <v>18.85998</v>
      </c>
      <c r="AN117">
        <v>18.473715545274999</v>
      </c>
      <c r="AO117">
        <v>18.473968608991999</v>
      </c>
      <c r="AP117">
        <v>21.66582</v>
      </c>
      <c r="AQ117">
        <v>21.56766</v>
      </c>
      <c r="AR117">
        <v>383.59800000000001</v>
      </c>
      <c r="AS117">
        <v>606.20699999999999</v>
      </c>
      <c r="AT117">
        <v>598.89699999999903</v>
      </c>
      <c r="AU117">
        <v>741.98400000000004</v>
      </c>
      <c r="AV117">
        <v>811.34299999999996</v>
      </c>
      <c r="AW117">
        <v>1154.2239999999999</v>
      </c>
      <c r="AX117">
        <v>884.08900000000006</v>
      </c>
      <c r="AY117">
        <v>442.08499999999998</v>
      </c>
      <c r="AZ117">
        <v>568.94600000000003</v>
      </c>
      <c r="BA117">
        <v>229.995</v>
      </c>
      <c r="BB117">
        <v>958.15099999999995</v>
      </c>
      <c r="BC117">
        <v>756.09100000000001</v>
      </c>
      <c r="BD117">
        <v>460.1</v>
      </c>
      <c r="BE117">
        <v>1069.5319999999999</v>
      </c>
      <c r="BF117">
        <v>882.40295200000003</v>
      </c>
      <c r="BG117">
        <v>861.20550999999898</v>
      </c>
      <c r="BH117">
        <v>706.14883184374503</v>
      </c>
      <c r="BI117">
        <v>711.70010284875798</v>
      </c>
      <c r="BJ117">
        <v>863.05267500000002</v>
      </c>
      <c r="BK117">
        <v>866.36104399999999</v>
      </c>
      <c r="BL117" cm="1">
        <f t="array" ref="BL117">INDEX(R117:W117,0,MATCH($A117,$R$1:$W$1,0))</f>
        <v>0.51186799999999999</v>
      </c>
      <c r="BM117" cm="1">
        <f t="array" ref="BM117">INDEX(AL117:AQ117,0,MATCH($A117,$R$1:$W$1,0))</f>
        <v>21.56766</v>
      </c>
      <c r="BN117" cm="1">
        <f t="array" ref="BN117">INDEX(BF117:BK117,0,MATCH($A117,$R$1:$W$1,0))</f>
        <v>866.36104399999999</v>
      </c>
    </row>
    <row r="118" spans="1:66" x14ac:dyDescent="0.35">
      <c r="A118" t="s">
        <v>63</v>
      </c>
      <c r="B118">
        <v>1500588.37</v>
      </c>
      <c r="C118">
        <v>2018</v>
      </c>
      <c r="D118">
        <v>0.52466666666666595</v>
      </c>
      <c r="E118">
        <v>0.63133333333333297</v>
      </c>
      <c r="F118">
        <v>0.47699999999999998</v>
      </c>
      <c r="G118">
        <v>0.57433333333333303</v>
      </c>
      <c r="H118">
        <v>0.45033333333333297</v>
      </c>
      <c r="I118">
        <v>0.53500000000000003</v>
      </c>
      <c r="J118">
        <v>0.66999999999999904</v>
      </c>
      <c r="K118">
        <v>0.53866666666666596</v>
      </c>
      <c r="L118">
        <v>0.57533333333333303</v>
      </c>
      <c r="M118">
        <v>0.56766666666666599</v>
      </c>
      <c r="N118">
        <v>0.65466666666666595</v>
      </c>
      <c r="O118">
        <v>0.63100000000000001</v>
      </c>
      <c r="P118">
        <v>0.538333333333333</v>
      </c>
      <c r="Q118">
        <v>0.65933333333333299</v>
      </c>
      <c r="R118">
        <v>0.66469266666666604</v>
      </c>
      <c r="S118">
        <v>0.64501666666666602</v>
      </c>
      <c r="T118">
        <v>0.55121666634866595</v>
      </c>
      <c r="U118">
        <v>0.55994285832799995</v>
      </c>
      <c r="V118">
        <v>0.71184666666666596</v>
      </c>
      <c r="W118">
        <v>0.67344399999999904</v>
      </c>
      <c r="X118">
        <v>16.283000000000001</v>
      </c>
      <c r="Y118">
        <v>19.018999999999998</v>
      </c>
      <c r="Z118">
        <v>17.917000000000002</v>
      </c>
      <c r="AA118">
        <v>18.917000000000002</v>
      </c>
      <c r="AB118">
        <v>18.562000000000001</v>
      </c>
      <c r="AC118">
        <v>17.911999999999999</v>
      </c>
      <c r="AD118">
        <v>18.619</v>
      </c>
      <c r="AE118">
        <v>19.489000000000001</v>
      </c>
      <c r="AF118">
        <v>20.16</v>
      </c>
      <c r="AG118">
        <v>20.186</v>
      </c>
      <c r="AH118">
        <v>19.193999999999999</v>
      </c>
      <c r="AI118">
        <v>19.567</v>
      </c>
      <c r="AJ118">
        <v>18.148</v>
      </c>
      <c r="AK118">
        <v>19.797000000000001</v>
      </c>
      <c r="AL118">
        <v>21.241782000000001</v>
      </c>
      <c r="AM118">
        <v>18.833659999999998</v>
      </c>
      <c r="AN118">
        <v>18.607389989518001</v>
      </c>
      <c r="AO118">
        <v>18.722594323586002</v>
      </c>
      <c r="AP118">
        <v>22.08342</v>
      </c>
      <c r="AQ118">
        <v>21.655495999999999</v>
      </c>
      <c r="AR118">
        <v>284.64800000000002</v>
      </c>
      <c r="AS118">
        <v>463.61599999999999</v>
      </c>
      <c r="AT118">
        <v>545.47</v>
      </c>
      <c r="AU118">
        <v>615.39200000000005</v>
      </c>
      <c r="AV118">
        <v>717.404</v>
      </c>
      <c r="AW118">
        <v>1101.278</v>
      </c>
      <c r="AX118">
        <v>827.78</v>
      </c>
      <c r="AY118">
        <v>392.58699999999999</v>
      </c>
      <c r="AZ118">
        <v>461.363</v>
      </c>
      <c r="BA118">
        <v>311.75</v>
      </c>
      <c r="BB118">
        <v>882.98199999999997</v>
      </c>
      <c r="BC118">
        <v>659.60699999999997</v>
      </c>
      <c r="BD118">
        <v>369.12599999999998</v>
      </c>
      <c r="BE118">
        <v>974.21</v>
      </c>
      <c r="BF118">
        <v>798.34100999999998</v>
      </c>
      <c r="BG118">
        <v>790.97549000000004</v>
      </c>
      <c r="BH118">
        <v>616.04071742963902</v>
      </c>
      <c r="BI118">
        <v>628.44640699424201</v>
      </c>
      <c r="BJ118">
        <v>808.96697500000005</v>
      </c>
      <c r="BK118">
        <v>766.549938</v>
      </c>
      <c r="BL118" cm="1">
        <f t="array" ref="BL118">INDEX(R118:W118,0,MATCH($A118,$R$1:$W$1,0))</f>
        <v>0.55994285832799995</v>
      </c>
      <c r="BM118" cm="1">
        <f t="array" ref="BM118">INDEX(AL118:AQ118,0,MATCH($A118,$R$1:$W$1,0))</f>
        <v>18.722594323586002</v>
      </c>
      <c r="BN118" cm="1">
        <f t="array" ref="BN118">INDEX(BF118:BK118,0,MATCH($A118,$R$1:$W$1,0))</f>
        <v>628.44640699424201</v>
      </c>
    </row>
    <row r="119" spans="1:66" x14ac:dyDescent="0.35">
      <c r="A119" t="s">
        <v>64</v>
      </c>
      <c r="B119">
        <v>485672.51</v>
      </c>
      <c r="C119">
        <v>2018</v>
      </c>
      <c r="D119">
        <v>0.52466666666666595</v>
      </c>
      <c r="E119">
        <v>0.63133333333333297</v>
      </c>
      <c r="F119">
        <v>0.47699999999999998</v>
      </c>
      <c r="G119">
        <v>0.57433333333333303</v>
      </c>
      <c r="H119">
        <v>0.45033333333333297</v>
      </c>
      <c r="I119">
        <v>0.53500000000000003</v>
      </c>
      <c r="J119">
        <v>0.66999999999999904</v>
      </c>
      <c r="K119">
        <v>0.53866666666666596</v>
      </c>
      <c r="L119">
        <v>0.57533333333333303</v>
      </c>
      <c r="M119">
        <v>0.56766666666666599</v>
      </c>
      <c r="N119">
        <v>0.65466666666666595</v>
      </c>
      <c r="O119">
        <v>0.63100000000000001</v>
      </c>
      <c r="P119">
        <v>0.538333333333333</v>
      </c>
      <c r="Q119">
        <v>0.65933333333333299</v>
      </c>
      <c r="R119">
        <v>0.66469266666666604</v>
      </c>
      <c r="S119">
        <v>0.64501666666666602</v>
      </c>
      <c r="T119">
        <v>0.55121666634866595</v>
      </c>
      <c r="U119">
        <v>0.55994285832799995</v>
      </c>
      <c r="V119">
        <v>0.71184666666666596</v>
      </c>
      <c r="W119">
        <v>0.67344399999999904</v>
      </c>
      <c r="X119">
        <v>16.283000000000001</v>
      </c>
      <c r="Y119">
        <v>19.018999999999998</v>
      </c>
      <c r="Z119">
        <v>17.917000000000002</v>
      </c>
      <c r="AA119">
        <v>18.917000000000002</v>
      </c>
      <c r="AB119">
        <v>18.562000000000001</v>
      </c>
      <c r="AC119">
        <v>17.911999999999999</v>
      </c>
      <c r="AD119">
        <v>18.619</v>
      </c>
      <c r="AE119">
        <v>19.489000000000001</v>
      </c>
      <c r="AF119">
        <v>20.16</v>
      </c>
      <c r="AG119">
        <v>20.186</v>
      </c>
      <c r="AH119">
        <v>19.193999999999999</v>
      </c>
      <c r="AI119">
        <v>19.567</v>
      </c>
      <c r="AJ119">
        <v>18.148</v>
      </c>
      <c r="AK119">
        <v>19.797000000000001</v>
      </c>
      <c r="AL119">
        <v>21.241782000000001</v>
      </c>
      <c r="AM119">
        <v>18.833659999999998</v>
      </c>
      <c r="AN119">
        <v>18.607389989518001</v>
      </c>
      <c r="AO119">
        <v>18.722594323586002</v>
      </c>
      <c r="AP119">
        <v>22.08342</v>
      </c>
      <c r="AQ119">
        <v>21.655495999999999</v>
      </c>
      <c r="AR119">
        <v>284.64800000000002</v>
      </c>
      <c r="AS119">
        <v>463.61599999999999</v>
      </c>
      <c r="AT119">
        <v>545.47</v>
      </c>
      <c r="AU119">
        <v>615.39200000000005</v>
      </c>
      <c r="AV119">
        <v>717.404</v>
      </c>
      <c r="AW119">
        <v>1101.278</v>
      </c>
      <c r="AX119">
        <v>827.78</v>
      </c>
      <c r="AY119">
        <v>392.58699999999999</v>
      </c>
      <c r="AZ119">
        <v>461.363</v>
      </c>
      <c r="BA119">
        <v>311.75</v>
      </c>
      <c r="BB119">
        <v>882.98199999999997</v>
      </c>
      <c r="BC119">
        <v>659.60699999999997</v>
      </c>
      <c r="BD119">
        <v>369.12599999999998</v>
      </c>
      <c r="BE119">
        <v>974.21</v>
      </c>
      <c r="BF119">
        <v>798.34100999999998</v>
      </c>
      <c r="BG119">
        <v>790.97549000000004</v>
      </c>
      <c r="BH119">
        <v>616.04071742963902</v>
      </c>
      <c r="BI119">
        <v>628.44640699424201</v>
      </c>
      <c r="BJ119">
        <v>808.96697500000005</v>
      </c>
      <c r="BK119">
        <v>766.549938</v>
      </c>
      <c r="BL119" cm="1">
        <f t="array" ref="BL119">INDEX(R119:W119,0,MATCH($A119,$R$1:$W$1,0))</f>
        <v>0.66469266666666604</v>
      </c>
      <c r="BM119" cm="1">
        <f t="array" ref="BM119">INDEX(AL119:AQ119,0,MATCH($A119,$R$1:$W$1,0))</f>
        <v>21.241782000000001</v>
      </c>
      <c r="BN119" cm="1">
        <f t="array" ref="BN119">INDEX(BF119:BK119,0,MATCH($A119,$R$1:$W$1,0))</f>
        <v>798.34100999999998</v>
      </c>
    </row>
    <row r="120" spans="1:66" x14ac:dyDescent="0.35">
      <c r="A120" t="s">
        <v>65</v>
      </c>
      <c r="B120">
        <v>897574.18</v>
      </c>
      <c r="C120">
        <v>2018</v>
      </c>
      <c r="D120">
        <v>0.52466666666666595</v>
      </c>
      <c r="E120">
        <v>0.63133333333333297</v>
      </c>
      <c r="F120">
        <v>0.47699999999999998</v>
      </c>
      <c r="G120">
        <v>0.57433333333333303</v>
      </c>
      <c r="H120">
        <v>0.45033333333333297</v>
      </c>
      <c r="I120">
        <v>0.53500000000000003</v>
      </c>
      <c r="J120">
        <v>0.66999999999999904</v>
      </c>
      <c r="K120">
        <v>0.53866666666666596</v>
      </c>
      <c r="L120">
        <v>0.57533333333333303</v>
      </c>
      <c r="M120">
        <v>0.56766666666666599</v>
      </c>
      <c r="N120">
        <v>0.65466666666666595</v>
      </c>
      <c r="O120">
        <v>0.63100000000000001</v>
      </c>
      <c r="P120">
        <v>0.538333333333333</v>
      </c>
      <c r="Q120">
        <v>0.65933333333333299</v>
      </c>
      <c r="R120">
        <v>0.66469266666666604</v>
      </c>
      <c r="S120">
        <v>0.64501666666666602</v>
      </c>
      <c r="T120">
        <v>0.55121666634866595</v>
      </c>
      <c r="U120">
        <v>0.55994285832799995</v>
      </c>
      <c r="V120">
        <v>0.71184666666666596</v>
      </c>
      <c r="W120">
        <v>0.67344399999999904</v>
      </c>
      <c r="X120">
        <v>16.283000000000001</v>
      </c>
      <c r="Y120">
        <v>19.018999999999998</v>
      </c>
      <c r="Z120">
        <v>17.917000000000002</v>
      </c>
      <c r="AA120">
        <v>18.917000000000002</v>
      </c>
      <c r="AB120">
        <v>18.562000000000001</v>
      </c>
      <c r="AC120">
        <v>17.911999999999999</v>
      </c>
      <c r="AD120">
        <v>18.619</v>
      </c>
      <c r="AE120">
        <v>19.489000000000001</v>
      </c>
      <c r="AF120">
        <v>20.16</v>
      </c>
      <c r="AG120">
        <v>20.186</v>
      </c>
      <c r="AH120">
        <v>19.193999999999999</v>
      </c>
      <c r="AI120">
        <v>19.567</v>
      </c>
      <c r="AJ120">
        <v>18.148</v>
      </c>
      <c r="AK120">
        <v>19.797000000000001</v>
      </c>
      <c r="AL120">
        <v>21.241782000000001</v>
      </c>
      <c r="AM120">
        <v>18.833659999999998</v>
      </c>
      <c r="AN120">
        <v>18.607389989518001</v>
      </c>
      <c r="AO120">
        <v>18.722594323586002</v>
      </c>
      <c r="AP120">
        <v>22.08342</v>
      </c>
      <c r="AQ120">
        <v>21.655495999999999</v>
      </c>
      <c r="AR120">
        <v>284.64800000000002</v>
      </c>
      <c r="AS120">
        <v>463.61599999999999</v>
      </c>
      <c r="AT120">
        <v>545.47</v>
      </c>
      <c r="AU120">
        <v>615.39200000000005</v>
      </c>
      <c r="AV120">
        <v>717.404</v>
      </c>
      <c r="AW120">
        <v>1101.278</v>
      </c>
      <c r="AX120">
        <v>827.78</v>
      </c>
      <c r="AY120">
        <v>392.58699999999999</v>
      </c>
      <c r="AZ120">
        <v>461.363</v>
      </c>
      <c r="BA120">
        <v>311.75</v>
      </c>
      <c r="BB120">
        <v>882.98199999999997</v>
      </c>
      <c r="BC120">
        <v>659.60699999999997</v>
      </c>
      <c r="BD120">
        <v>369.12599999999998</v>
      </c>
      <c r="BE120">
        <v>974.21</v>
      </c>
      <c r="BF120">
        <v>798.34100999999998</v>
      </c>
      <c r="BG120">
        <v>790.97549000000004</v>
      </c>
      <c r="BH120">
        <v>616.04071742963902</v>
      </c>
      <c r="BI120">
        <v>628.44640699424201</v>
      </c>
      <c r="BJ120">
        <v>808.96697500000005</v>
      </c>
      <c r="BK120">
        <v>766.549938</v>
      </c>
      <c r="BL120" cm="1">
        <f t="array" ref="BL120">INDEX(R120:W120,0,MATCH($A120,$R$1:$W$1,0))</f>
        <v>0.55121666634866595</v>
      </c>
      <c r="BM120" cm="1">
        <f t="array" ref="BM120">INDEX(AL120:AQ120,0,MATCH($A120,$R$1:$W$1,0))</f>
        <v>18.607389989518001</v>
      </c>
      <c r="BN120" cm="1">
        <f t="array" ref="BN120">INDEX(BF120:BK120,0,MATCH($A120,$R$1:$W$1,0))</f>
        <v>616.04071742963902</v>
      </c>
    </row>
    <row r="121" spans="1:66" x14ac:dyDescent="0.35">
      <c r="A121" t="s">
        <v>66</v>
      </c>
      <c r="B121">
        <v>1206587.27</v>
      </c>
      <c r="C121">
        <v>2018</v>
      </c>
      <c r="D121">
        <v>0.52466666666666595</v>
      </c>
      <c r="E121">
        <v>0.63133333333333297</v>
      </c>
      <c r="F121">
        <v>0.47699999999999998</v>
      </c>
      <c r="G121">
        <v>0.57433333333333303</v>
      </c>
      <c r="H121">
        <v>0.45033333333333297</v>
      </c>
      <c r="I121">
        <v>0.53500000000000003</v>
      </c>
      <c r="J121">
        <v>0.66999999999999904</v>
      </c>
      <c r="K121">
        <v>0.53866666666666596</v>
      </c>
      <c r="L121">
        <v>0.57533333333333303</v>
      </c>
      <c r="M121">
        <v>0.56766666666666599</v>
      </c>
      <c r="N121">
        <v>0.65466666666666595</v>
      </c>
      <c r="O121">
        <v>0.63100000000000001</v>
      </c>
      <c r="P121">
        <v>0.538333333333333</v>
      </c>
      <c r="Q121">
        <v>0.65933333333333299</v>
      </c>
      <c r="R121">
        <v>0.66469266666666604</v>
      </c>
      <c r="S121">
        <v>0.64501666666666602</v>
      </c>
      <c r="T121">
        <v>0.55121666634866595</v>
      </c>
      <c r="U121">
        <v>0.55994285832799995</v>
      </c>
      <c r="V121">
        <v>0.71184666666666596</v>
      </c>
      <c r="W121">
        <v>0.67344399999999904</v>
      </c>
      <c r="X121">
        <v>16.283000000000001</v>
      </c>
      <c r="Y121">
        <v>19.018999999999998</v>
      </c>
      <c r="Z121">
        <v>17.917000000000002</v>
      </c>
      <c r="AA121">
        <v>18.917000000000002</v>
      </c>
      <c r="AB121">
        <v>18.562000000000001</v>
      </c>
      <c r="AC121">
        <v>17.911999999999999</v>
      </c>
      <c r="AD121">
        <v>18.619</v>
      </c>
      <c r="AE121">
        <v>19.489000000000001</v>
      </c>
      <c r="AF121">
        <v>20.16</v>
      </c>
      <c r="AG121">
        <v>20.186</v>
      </c>
      <c r="AH121">
        <v>19.193999999999999</v>
      </c>
      <c r="AI121">
        <v>19.567</v>
      </c>
      <c r="AJ121">
        <v>18.148</v>
      </c>
      <c r="AK121">
        <v>19.797000000000001</v>
      </c>
      <c r="AL121">
        <v>21.241782000000001</v>
      </c>
      <c r="AM121">
        <v>18.833659999999998</v>
      </c>
      <c r="AN121">
        <v>18.607389989518001</v>
      </c>
      <c r="AO121">
        <v>18.722594323586002</v>
      </c>
      <c r="AP121">
        <v>22.08342</v>
      </c>
      <c r="AQ121">
        <v>21.655495999999999</v>
      </c>
      <c r="AR121">
        <v>284.64800000000002</v>
      </c>
      <c r="AS121">
        <v>463.61599999999999</v>
      </c>
      <c r="AT121">
        <v>545.47</v>
      </c>
      <c r="AU121">
        <v>615.39200000000005</v>
      </c>
      <c r="AV121">
        <v>717.404</v>
      </c>
      <c r="AW121">
        <v>1101.278</v>
      </c>
      <c r="AX121">
        <v>827.78</v>
      </c>
      <c r="AY121">
        <v>392.58699999999999</v>
      </c>
      <c r="AZ121">
        <v>461.363</v>
      </c>
      <c r="BA121">
        <v>311.75</v>
      </c>
      <c r="BB121">
        <v>882.98199999999997</v>
      </c>
      <c r="BC121">
        <v>659.60699999999997</v>
      </c>
      <c r="BD121">
        <v>369.12599999999998</v>
      </c>
      <c r="BE121">
        <v>974.21</v>
      </c>
      <c r="BF121">
        <v>798.34100999999998</v>
      </c>
      <c r="BG121">
        <v>790.97549000000004</v>
      </c>
      <c r="BH121">
        <v>616.04071742963902</v>
      </c>
      <c r="BI121">
        <v>628.44640699424201</v>
      </c>
      <c r="BJ121">
        <v>808.96697500000005</v>
      </c>
      <c r="BK121">
        <v>766.549938</v>
      </c>
      <c r="BL121" cm="1">
        <f t="array" ref="BL121">INDEX(R121:W121,0,MATCH($A121,$R$1:$W$1,0))</f>
        <v>0.71184666666666596</v>
      </c>
      <c r="BM121" cm="1">
        <f t="array" ref="BM121">INDEX(AL121:AQ121,0,MATCH($A121,$R$1:$W$1,0))</f>
        <v>22.08342</v>
      </c>
      <c r="BN121" cm="1">
        <f t="array" ref="BN121">INDEX(BF121:BK121,0,MATCH($A121,$R$1:$W$1,0))</f>
        <v>808.96697500000005</v>
      </c>
    </row>
    <row r="122" spans="1:66" x14ac:dyDescent="0.35">
      <c r="A122" t="s">
        <v>67</v>
      </c>
      <c r="B122">
        <v>295463.11</v>
      </c>
      <c r="C122">
        <v>2018</v>
      </c>
      <c r="D122">
        <v>0.52466666666666595</v>
      </c>
      <c r="E122">
        <v>0.63133333333333297</v>
      </c>
      <c r="F122">
        <v>0.47699999999999998</v>
      </c>
      <c r="G122">
        <v>0.57433333333333303</v>
      </c>
      <c r="H122">
        <v>0.45033333333333297</v>
      </c>
      <c r="I122">
        <v>0.53500000000000003</v>
      </c>
      <c r="J122">
        <v>0.66999999999999904</v>
      </c>
      <c r="K122">
        <v>0.53866666666666596</v>
      </c>
      <c r="L122">
        <v>0.57533333333333303</v>
      </c>
      <c r="M122">
        <v>0.56766666666666599</v>
      </c>
      <c r="N122">
        <v>0.65466666666666595</v>
      </c>
      <c r="O122">
        <v>0.63100000000000001</v>
      </c>
      <c r="P122">
        <v>0.538333333333333</v>
      </c>
      <c r="Q122">
        <v>0.65933333333333299</v>
      </c>
      <c r="R122">
        <v>0.66469266666666604</v>
      </c>
      <c r="S122">
        <v>0.64501666666666602</v>
      </c>
      <c r="T122">
        <v>0.55121666634866595</v>
      </c>
      <c r="U122">
        <v>0.55994285832799995</v>
      </c>
      <c r="V122">
        <v>0.71184666666666596</v>
      </c>
      <c r="W122">
        <v>0.67344399999999904</v>
      </c>
      <c r="X122">
        <v>16.283000000000001</v>
      </c>
      <c r="Y122">
        <v>19.018999999999998</v>
      </c>
      <c r="Z122">
        <v>17.917000000000002</v>
      </c>
      <c r="AA122">
        <v>18.917000000000002</v>
      </c>
      <c r="AB122">
        <v>18.562000000000001</v>
      </c>
      <c r="AC122">
        <v>17.911999999999999</v>
      </c>
      <c r="AD122">
        <v>18.619</v>
      </c>
      <c r="AE122">
        <v>19.489000000000001</v>
      </c>
      <c r="AF122">
        <v>20.16</v>
      </c>
      <c r="AG122">
        <v>20.186</v>
      </c>
      <c r="AH122">
        <v>19.193999999999999</v>
      </c>
      <c r="AI122">
        <v>19.567</v>
      </c>
      <c r="AJ122">
        <v>18.148</v>
      </c>
      <c r="AK122">
        <v>19.797000000000001</v>
      </c>
      <c r="AL122">
        <v>21.241782000000001</v>
      </c>
      <c r="AM122">
        <v>18.833659999999998</v>
      </c>
      <c r="AN122">
        <v>18.607389989518001</v>
      </c>
      <c r="AO122">
        <v>18.722594323586002</v>
      </c>
      <c r="AP122">
        <v>22.08342</v>
      </c>
      <c r="AQ122">
        <v>21.655495999999999</v>
      </c>
      <c r="AR122">
        <v>284.64800000000002</v>
      </c>
      <c r="AS122">
        <v>463.61599999999999</v>
      </c>
      <c r="AT122">
        <v>545.47</v>
      </c>
      <c r="AU122">
        <v>615.39200000000005</v>
      </c>
      <c r="AV122">
        <v>717.404</v>
      </c>
      <c r="AW122">
        <v>1101.278</v>
      </c>
      <c r="AX122">
        <v>827.78</v>
      </c>
      <c r="AY122">
        <v>392.58699999999999</v>
      </c>
      <c r="AZ122">
        <v>461.363</v>
      </c>
      <c r="BA122">
        <v>311.75</v>
      </c>
      <c r="BB122">
        <v>882.98199999999997</v>
      </c>
      <c r="BC122">
        <v>659.60699999999997</v>
      </c>
      <c r="BD122">
        <v>369.12599999999998</v>
      </c>
      <c r="BE122">
        <v>974.21</v>
      </c>
      <c r="BF122">
        <v>798.34100999999998</v>
      </c>
      <c r="BG122">
        <v>790.97549000000004</v>
      </c>
      <c r="BH122">
        <v>616.04071742963902</v>
      </c>
      <c r="BI122">
        <v>628.44640699424201</v>
      </c>
      <c r="BJ122">
        <v>808.96697500000005</v>
      </c>
      <c r="BK122">
        <v>766.549938</v>
      </c>
      <c r="BL122" cm="1">
        <f t="array" ref="BL122">INDEX(R122:W122,0,MATCH($A122,$R$1:$W$1,0))</f>
        <v>0.67344399999999904</v>
      </c>
      <c r="BM122" cm="1">
        <f t="array" ref="BM122">INDEX(AL122:AQ122,0,MATCH($A122,$R$1:$W$1,0))</f>
        <v>21.655495999999999</v>
      </c>
      <c r="BN122" cm="1">
        <f t="array" ref="BN122">INDEX(BF122:BK122,0,MATCH($A122,$R$1:$W$1,0))</f>
        <v>766.549938</v>
      </c>
    </row>
    <row r="123" spans="1:66" x14ac:dyDescent="0.35">
      <c r="A123" t="s">
        <v>63</v>
      </c>
      <c r="B123">
        <v>1421288.11</v>
      </c>
      <c r="C123">
        <v>2019</v>
      </c>
      <c r="D123">
        <v>0.54100000000000004</v>
      </c>
      <c r="E123">
        <v>0.50833333333333297</v>
      </c>
      <c r="F123">
        <v>0.50366666666666604</v>
      </c>
      <c r="G123">
        <v>0.49233333333333301</v>
      </c>
      <c r="H123">
        <v>0.52233333333333298</v>
      </c>
      <c r="I123">
        <v>0.63200000000000001</v>
      </c>
      <c r="J123">
        <v>0.63200000000000001</v>
      </c>
      <c r="K123">
        <v>0.54566666666666597</v>
      </c>
      <c r="L123">
        <v>0.55266666666666597</v>
      </c>
      <c r="M123">
        <v>0.52566666666666595</v>
      </c>
      <c r="N123">
        <v>0.57233333333333303</v>
      </c>
      <c r="O123">
        <v>0.60666666666666602</v>
      </c>
      <c r="P123">
        <v>0.53766666666666596</v>
      </c>
      <c r="Q123">
        <v>0.60499999999999998</v>
      </c>
      <c r="R123">
        <v>0.64276733333333302</v>
      </c>
      <c r="S123">
        <v>0.61699000000000004</v>
      </c>
      <c r="T123">
        <v>0.52927037005300004</v>
      </c>
      <c r="U123">
        <v>0.54520381064866597</v>
      </c>
      <c r="V123">
        <v>0.66222833333333297</v>
      </c>
      <c r="W123">
        <v>0.63605999999999996</v>
      </c>
      <c r="X123">
        <v>16.433</v>
      </c>
      <c r="Y123">
        <v>18.102</v>
      </c>
      <c r="Z123">
        <v>16.433</v>
      </c>
      <c r="AA123">
        <v>18.228999999999999</v>
      </c>
      <c r="AB123">
        <v>16.695</v>
      </c>
      <c r="AC123">
        <v>19.09</v>
      </c>
      <c r="AD123">
        <v>18.007999999999999</v>
      </c>
      <c r="AE123">
        <v>19.591999999999999</v>
      </c>
      <c r="AF123">
        <v>18.38</v>
      </c>
      <c r="AG123">
        <v>19.058</v>
      </c>
      <c r="AH123">
        <v>17.533999999999999</v>
      </c>
      <c r="AI123">
        <v>19.149999999999999</v>
      </c>
      <c r="AJ123">
        <v>17.533000000000001</v>
      </c>
      <c r="AK123">
        <v>18.710999999999999</v>
      </c>
      <c r="AL123">
        <v>20.092155999999999</v>
      </c>
      <c r="AM123">
        <v>18.351600000000001</v>
      </c>
      <c r="AN123">
        <v>17.565407767591999</v>
      </c>
      <c r="AO123">
        <v>17.848004322087998</v>
      </c>
      <c r="AP123">
        <v>20.923105</v>
      </c>
      <c r="AQ123">
        <v>20.692062</v>
      </c>
      <c r="AR123">
        <v>413.64800000000002</v>
      </c>
      <c r="AS123">
        <v>407.05700000000002</v>
      </c>
      <c r="AT123">
        <v>497.411</v>
      </c>
      <c r="AU123">
        <v>460.38299999999998</v>
      </c>
      <c r="AV123">
        <v>491.96499999999997</v>
      </c>
      <c r="AW123">
        <v>1172.0609999999999</v>
      </c>
      <c r="AX123">
        <v>662.68299999999999</v>
      </c>
      <c r="AY123">
        <v>332.29</v>
      </c>
      <c r="AZ123">
        <v>391.41399999999999</v>
      </c>
      <c r="BA123">
        <v>212.25200000000001</v>
      </c>
      <c r="BB123">
        <v>718.97500000000002</v>
      </c>
      <c r="BC123">
        <v>533.54700000000003</v>
      </c>
      <c r="BD123">
        <v>393.065</v>
      </c>
      <c r="BE123">
        <v>731.78200000000004</v>
      </c>
      <c r="BF123">
        <v>652.29174399999999</v>
      </c>
      <c r="BG123">
        <v>649.70241999999996</v>
      </c>
      <c r="BH123">
        <v>496.481349675427</v>
      </c>
      <c r="BI123">
        <v>507.44327544205402</v>
      </c>
      <c r="BJ123">
        <v>649.76974499999994</v>
      </c>
      <c r="BK123">
        <v>621.22320000000002</v>
      </c>
      <c r="BL123" cm="1">
        <f t="array" ref="BL123">INDEX(R123:W123,0,MATCH($A123,$R$1:$W$1,0))</f>
        <v>0.54520381064866597</v>
      </c>
      <c r="BM123" cm="1">
        <f t="array" ref="BM123">INDEX(AL123:AQ123,0,MATCH($A123,$R$1:$W$1,0))</f>
        <v>17.848004322087998</v>
      </c>
      <c r="BN123" cm="1">
        <f t="array" ref="BN123">INDEX(BF123:BK123,0,MATCH($A123,$R$1:$W$1,0))</f>
        <v>507.44327544205402</v>
      </c>
    </row>
    <row r="124" spans="1:66" x14ac:dyDescent="0.35">
      <c r="A124" t="s">
        <v>64</v>
      </c>
      <c r="B124">
        <v>530704.97</v>
      </c>
      <c r="C124">
        <v>2019</v>
      </c>
      <c r="D124">
        <v>0.54100000000000004</v>
      </c>
      <c r="E124">
        <v>0.50833333333333297</v>
      </c>
      <c r="F124">
        <v>0.50366666666666604</v>
      </c>
      <c r="G124">
        <v>0.49233333333333301</v>
      </c>
      <c r="H124">
        <v>0.52233333333333298</v>
      </c>
      <c r="I124">
        <v>0.63200000000000001</v>
      </c>
      <c r="J124">
        <v>0.63200000000000001</v>
      </c>
      <c r="K124">
        <v>0.54566666666666597</v>
      </c>
      <c r="L124">
        <v>0.55266666666666597</v>
      </c>
      <c r="M124">
        <v>0.52566666666666595</v>
      </c>
      <c r="N124">
        <v>0.57233333333333303</v>
      </c>
      <c r="O124">
        <v>0.60666666666666602</v>
      </c>
      <c r="P124">
        <v>0.53766666666666596</v>
      </c>
      <c r="Q124">
        <v>0.60499999999999998</v>
      </c>
      <c r="R124">
        <v>0.64276733333333302</v>
      </c>
      <c r="S124">
        <v>0.61699000000000004</v>
      </c>
      <c r="T124">
        <v>0.52927037005300004</v>
      </c>
      <c r="U124">
        <v>0.54520381064866597</v>
      </c>
      <c r="V124">
        <v>0.66222833333333297</v>
      </c>
      <c r="W124">
        <v>0.63605999999999996</v>
      </c>
      <c r="X124">
        <v>16.433</v>
      </c>
      <c r="Y124">
        <v>18.102</v>
      </c>
      <c r="Z124">
        <v>16.433</v>
      </c>
      <c r="AA124">
        <v>18.228999999999999</v>
      </c>
      <c r="AB124">
        <v>16.695</v>
      </c>
      <c r="AC124">
        <v>19.09</v>
      </c>
      <c r="AD124">
        <v>18.007999999999999</v>
      </c>
      <c r="AE124">
        <v>19.591999999999999</v>
      </c>
      <c r="AF124">
        <v>18.38</v>
      </c>
      <c r="AG124">
        <v>19.058</v>
      </c>
      <c r="AH124">
        <v>17.533999999999999</v>
      </c>
      <c r="AI124">
        <v>19.149999999999999</v>
      </c>
      <c r="AJ124">
        <v>17.533000000000001</v>
      </c>
      <c r="AK124">
        <v>18.710999999999999</v>
      </c>
      <c r="AL124">
        <v>20.092155999999999</v>
      </c>
      <c r="AM124">
        <v>18.351600000000001</v>
      </c>
      <c r="AN124">
        <v>17.565407767591999</v>
      </c>
      <c r="AO124">
        <v>17.848004322087998</v>
      </c>
      <c r="AP124">
        <v>20.923105</v>
      </c>
      <c r="AQ124">
        <v>20.692062</v>
      </c>
      <c r="AR124">
        <v>413.64800000000002</v>
      </c>
      <c r="AS124">
        <v>407.05700000000002</v>
      </c>
      <c r="AT124">
        <v>497.411</v>
      </c>
      <c r="AU124">
        <v>460.38299999999998</v>
      </c>
      <c r="AV124">
        <v>491.96499999999997</v>
      </c>
      <c r="AW124">
        <v>1172.0609999999999</v>
      </c>
      <c r="AX124">
        <v>662.68299999999999</v>
      </c>
      <c r="AY124">
        <v>332.29</v>
      </c>
      <c r="AZ124">
        <v>391.41399999999999</v>
      </c>
      <c r="BA124">
        <v>212.25200000000001</v>
      </c>
      <c r="BB124">
        <v>718.97500000000002</v>
      </c>
      <c r="BC124">
        <v>533.54700000000003</v>
      </c>
      <c r="BD124">
        <v>393.065</v>
      </c>
      <c r="BE124">
        <v>731.78200000000004</v>
      </c>
      <c r="BF124">
        <v>652.29174399999999</v>
      </c>
      <c r="BG124">
        <v>649.70241999999996</v>
      </c>
      <c r="BH124">
        <v>496.481349675427</v>
      </c>
      <c r="BI124">
        <v>507.44327544205402</v>
      </c>
      <c r="BJ124">
        <v>649.76974499999994</v>
      </c>
      <c r="BK124">
        <v>621.22320000000002</v>
      </c>
      <c r="BL124" cm="1">
        <f t="array" ref="BL124">INDEX(R124:W124,0,MATCH($A124,$R$1:$W$1,0))</f>
        <v>0.64276733333333302</v>
      </c>
      <c r="BM124" cm="1">
        <f t="array" ref="BM124">INDEX(AL124:AQ124,0,MATCH($A124,$R$1:$W$1,0))</f>
        <v>20.092155999999999</v>
      </c>
      <c r="BN124" cm="1">
        <f t="array" ref="BN124">INDEX(BF124:BK124,0,MATCH($A124,$R$1:$W$1,0))</f>
        <v>652.29174399999999</v>
      </c>
    </row>
    <row r="125" spans="1:66" x14ac:dyDescent="0.35">
      <c r="A125" t="s">
        <v>65</v>
      </c>
      <c r="B125">
        <v>807044.07</v>
      </c>
      <c r="C125">
        <v>2019</v>
      </c>
      <c r="D125">
        <v>0.54100000000000004</v>
      </c>
      <c r="E125">
        <v>0.50833333333333297</v>
      </c>
      <c r="F125">
        <v>0.50366666666666604</v>
      </c>
      <c r="G125">
        <v>0.49233333333333301</v>
      </c>
      <c r="H125">
        <v>0.52233333333333298</v>
      </c>
      <c r="I125">
        <v>0.63200000000000001</v>
      </c>
      <c r="J125">
        <v>0.63200000000000001</v>
      </c>
      <c r="K125">
        <v>0.54566666666666597</v>
      </c>
      <c r="L125">
        <v>0.55266666666666597</v>
      </c>
      <c r="M125">
        <v>0.52566666666666595</v>
      </c>
      <c r="N125">
        <v>0.57233333333333303</v>
      </c>
      <c r="O125">
        <v>0.60666666666666602</v>
      </c>
      <c r="P125">
        <v>0.53766666666666596</v>
      </c>
      <c r="Q125">
        <v>0.60499999999999998</v>
      </c>
      <c r="R125">
        <v>0.64276733333333302</v>
      </c>
      <c r="S125">
        <v>0.61699000000000004</v>
      </c>
      <c r="T125">
        <v>0.52927037005300004</v>
      </c>
      <c r="U125">
        <v>0.54520381064866597</v>
      </c>
      <c r="V125">
        <v>0.66222833333333297</v>
      </c>
      <c r="W125">
        <v>0.63605999999999996</v>
      </c>
      <c r="X125">
        <v>16.433</v>
      </c>
      <c r="Y125">
        <v>18.102</v>
      </c>
      <c r="Z125">
        <v>16.433</v>
      </c>
      <c r="AA125">
        <v>18.228999999999999</v>
      </c>
      <c r="AB125">
        <v>16.695</v>
      </c>
      <c r="AC125">
        <v>19.09</v>
      </c>
      <c r="AD125">
        <v>18.007999999999999</v>
      </c>
      <c r="AE125">
        <v>19.591999999999999</v>
      </c>
      <c r="AF125">
        <v>18.38</v>
      </c>
      <c r="AG125">
        <v>19.058</v>
      </c>
      <c r="AH125">
        <v>17.533999999999999</v>
      </c>
      <c r="AI125">
        <v>19.149999999999999</v>
      </c>
      <c r="AJ125">
        <v>17.533000000000001</v>
      </c>
      <c r="AK125">
        <v>18.710999999999999</v>
      </c>
      <c r="AL125">
        <v>20.092155999999999</v>
      </c>
      <c r="AM125">
        <v>18.351600000000001</v>
      </c>
      <c r="AN125">
        <v>17.565407767591999</v>
      </c>
      <c r="AO125">
        <v>17.848004322087998</v>
      </c>
      <c r="AP125">
        <v>20.923105</v>
      </c>
      <c r="AQ125">
        <v>20.692062</v>
      </c>
      <c r="AR125">
        <v>413.64800000000002</v>
      </c>
      <c r="AS125">
        <v>407.05700000000002</v>
      </c>
      <c r="AT125">
        <v>497.411</v>
      </c>
      <c r="AU125">
        <v>460.38299999999998</v>
      </c>
      <c r="AV125">
        <v>491.96499999999997</v>
      </c>
      <c r="AW125">
        <v>1172.0609999999999</v>
      </c>
      <c r="AX125">
        <v>662.68299999999999</v>
      </c>
      <c r="AY125">
        <v>332.29</v>
      </c>
      <c r="AZ125">
        <v>391.41399999999999</v>
      </c>
      <c r="BA125">
        <v>212.25200000000001</v>
      </c>
      <c r="BB125">
        <v>718.97500000000002</v>
      </c>
      <c r="BC125">
        <v>533.54700000000003</v>
      </c>
      <c r="BD125">
        <v>393.065</v>
      </c>
      <c r="BE125">
        <v>731.78200000000004</v>
      </c>
      <c r="BF125">
        <v>652.29174399999999</v>
      </c>
      <c r="BG125">
        <v>649.70241999999996</v>
      </c>
      <c r="BH125">
        <v>496.481349675427</v>
      </c>
      <c r="BI125">
        <v>507.44327544205402</v>
      </c>
      <c r="BJ125">
        <v>649.76974499999994</v>
      </c>
      <c r="BK125">
        <v>621.22320000000002</v>
      </c>
      <c r="BL125" cm="1">
        <f t="array" ref="BL125">INDEX(R125:W125,0,MATCH($A125,$R$1:$W$1,0))</f>
        <v>0.52927037005300004</v>
      </c>
      <c r="BM125" cm="1">
        <f t="array" ref="BM125">INDEX(AL125:AQ125,0,MATCH($A125,$R$1:$W$1,0))</f>
        <v>17.565407767591999</v>
      </c>
      <c r="BN125" cm="1">
        <f t="array" ref="BN125">INDEX(BF125:BK125,0,MATCH($A125,$R$1:$W$1,0))</f>
        <v>496.481349675427</v>
      </c>
    </row>
    <row r="126" spans="1:66" x14ac:dyDescent="0.35">
      <c r="A126" t="s">
        <v>66</v>
      </c>
      <c r="B126">
        <v>1155730.28</v>
      </c>
      <c r="C126">
        <v>2019</v>
      </c>
      <c r="D126">
        <v>0.54100000000000004</v>
      </c>
      <c r="E126">
        <v>0.50833333333333297</v>
      </c>
      <c r="F126">
        <v>0.50366666666666604</v>
      </c>
      <c r="G126">
        <v>0.49233333333333301</v>
      </c>
      <c r="H126">
        <v>0.52233333333333298</v>
      </c>
      <c r="I126">
        <v>0.63200000000000001</v>
      </c>
      <c r="J126">
        <v>0.63200000000000001</v>
      </c>
      <c r="K126">
        <v>0.54566666666666597</v>
      </c>
      <c r="L126">
        <v>0.55266666666666597</v>
      </c>
      <c r="M126">
        <v>0.52566666666666595</v>
      </c>
      <c r="N126">
        <v>0.57233333333333303</v>
      </c>
      <c r="O126">
        <v>0.60666666666666602</v>
      </c>
      <c r="P126">
        <v>0.53766666666666596</v>
      </c>
      <c r="Q126">
        <v>0.60499999999999998</v>
      </c>
      <c r="R126">
        <v>0.64276733333333302</v>
      </c>
      <c r="S126">
        <v>0.61699000000000004</v>
      </c>
      <c r="T126">
        <v>0.52927037005300004</v>
      </c>
      <c r="U126">
        <v>0.54520381064866597</v>
      </c>
      <c r="V126">
        <v>0.66222833333333297</v>
      </c>
      <c r="W126">
        <v>0.63605999999999996</v>
      </c>
      <c r="X126">
        <v>16.433</v>
      </c>
      <c r="Y126">
        <v>18.102</v>
      </c>
      <c r="Z126">
        <v>16.433</v>
      </c>
      <c r="AA126">
        <v>18.228999999999999</v>
      </c>
      <c r="AB126">
        <v>16.695</v>
      </c>
      <c r="AC126">
        <v>19.09</v>
      </c>
      <c r="AD126">
        <v>18.007999999999999</v>
      </c>
      <c r="AE126">
        <v>19.591999999999999</v>
      </c>
      <c r="AF126">
        <v>18.38</v>
      </c>
      <c r="AG126">
        <v>19.058</v>
      </c>
      <c r="AH126">
        <v>17.533999999999999</v>
      </c>
      <c r="AI126">
        <v>19.149999999999999</v>
      </c>
      <c r="AJ126">
        <v>17.533000000000001</v>
      </c>
      <c r="AK126">
        <v>18.710999999999999</v>
      </c>
      <c r="AL126">
        <v>20.092155999999999</v>
      </c>
      <c r="AM126">
        <v>18.351600000000001</v>
      </c>
      <c r="AN126">
        <v>17.565407767591999</v>
      </c>
      <c r="AO126">
        <v>17.848004322087998</v>
      </c>
      <c r="AP126">
        <v>20.923105</v>
      </c>
      <c r="AQ126">
        <v>20.692062</v>
      </c>
      <c r="AR126">
        <v>413.64800000000002</v>
      </c>
      <c r="AS126">
        <v>407.05700000000002</v>
      </c>
      <c r="AT126">
        <v>497.411</v>
      </c>
      <c r="AU126">
        <v>460.38299999999998</v>
      </c>
      <c r="AV126">
        <v>491.96499999999997</v>
      </c>
      <c r="AW126">
        <v>1172.0609999999999</v>
      </c>
      <c r="AX126">
        <v>662.68299999999999</v>
      </c>
      <c r="AY126">
        <v>332.29</v>
      </c>
      <c r="AZ126">
        <v>391.41399999999999</v>
      </c>
      <c r="BA126">
        <v>212.25200000000001</v>
      </c>
      <c r="BB126">
        <v>718.97500000000002</v>
      </c>
      <c r="BC126">
        <v>533.54700000000003</v>
      </c>
      <c r="BD126">
        <v>393.065</v>
      </c>
      <c r="BE126">
        <v>731.78200000000004</v>
      </c>
      <c r="BF126">
        <v>652.29174399999999</v>
      </c>
      <c r="BG126">
        <v>649.70241999999996</v>
      </c>
      <c r="BH126">
        <v>496.481349675427</v>
      </c>
      <c r="BI126">
        <v>507.44327544205402</v>
      </c>
      <c r="BJ126">
        <v>649.76974499999994</v>
      </c>
      <c r="BK126">
        <v>621.22320000000002</v>
      </c>
      <c r="BL126" cm="1">
        <f t="array" ref="BL126">INDEX(R126:W126,0,MATCH($A126,$R$1:$W$1,0))</f>
        <v>0.66222833333333297</v>
      </c>
      <c r="BM126" cm="1">
        <f t="array" ref="BM126">INDEX(AL126:AQ126,0,MATCH($A126,$R$1:$W$1,0))</f>
        <v>20.923105</v>
      </c>
      <c r="BN126" cm="1">
        <f t="array" ref="BN126">INDEX(BF126:BK126,0,MATCH($A126,$R$1:$W$1,0))</f>
        <v>649.76974499999994</v>
      </c>
    </row>
    <row r="127" spans="1:66" x14ac:dyDescent="0.35">
      <c r="A127" t="s">
        <v>67</v>
      </c>
      <c r="B127">
        <v>270168.31</v>
      </c>
      <c r="C127">
        <v>2019</v>
      </c>
      <c r="D127">
        <v>0.54100000000000004</v>
      </c>
      <c r="E127">
        <v>0.50833333333333297</v>
      </c>
      <c r="F127">
        <v>0.50366666666666604</v>
      </c>
      <c r="G127">
        <v>0.49233333333333301</v>
      </c>
      <c r="H127">
        <v>0.52233333333333298</v>
      </c>
      <c r="I127">
        <v>0.63200000000000001</v>
      </c>
      <c r="J127">
        <v>0.63200000000000001</v>
      </c>
      <c r="K127">
        <v>0.54566666666666597</v>
      </c>
      <c r="L127">
        <v>0.55266666666666597</v>
      </c>
      <c r="M127">
        <v>0.52566666666666595</v>
      </c>
      <c r="N127">
        <v>0.57233333333333303</v>
      </c>
      <c r="O127">
        <v>0.60666666666666602</v>
      </c>
      <c r="P127">
        <v>0.53766666666666596</v>
      </c>
      <c r="Q127">
        <v>0.60499999999999998</v>
      </c>
      <c r="R127">
        <v>0.64276733333333302</v>
      </c>
      <c r="S127">
        <v>0.61699000000000004</v>
      </c>
      <c r="T127">
        <v>0.52927037005300004</v>
      </c>
      <c r="U127">
        <v>0.54520381064866597</v>
      </c>
      <c r="V127">
        <v>0.66222833333333297</v>
      </c>
      <c r="W127">
        <v>0.63605999999999996</v>
      </c>
      <c r="X127">
        <v>16.433</v>
      </c>
      <c r="Y127">
        <v>18.102</v>
      </c>
      <c r="Z127">
        <v>16.433</v>
      </c>
      <c r="AA127">
        <v>18.228999999999999</v>
      </c>
      <c r="AB127">
        <v>16.695</v>
      </c>
      <c r="AC127">
        <v>19.09</v>
      </c>
      <c r="AD127">
        <v>18.007999999999999</v>
      </c>
      <c r="AE127">
        <v>19.591999999999999</v>
      </c>
      <c r="AF127">
        <v>18.38</v>
      </c>
      <c r="AG127">
        <v>19.058</v>
      </c>
      <c r="AH127">
        <v>17.533999999999999</v>
      </c>
      <c r="AI127">
        <v>19.149999999999999</v>
      </c>
      <c r="AJ127">
        <v>17.533000000000001</v>
      </c>
      <c r="AK127">
        <v>18.710999999999999</v>
      </c>
      <c r="AL127">
        <v>20.092155999999999</v>
      </c>
      <c r="AM127">
        <v>18.351600000000001</v>
      </c>
      <c r="AN127">
        <v>17.565407767591999</v>
      </c>
      <c r="AO127">
        <v>17.848004322087998</v>
      </c>
      <c r="AP127">
        <v>20.923105</v>
      </c>
      <c r="AQ127">
        <v>20.692062</v>
      </c>
      <c r="AR127">
        <v>413.64800000000002</v>
      </c>
      <c r="AS127">
        <v>407.05700000000002</v>
      </c>
      <c r="AT127">
        <v>497.411</v>
      </c>
      <c r="AU127">
        <v>460.38299999999998</v>
      </c>
      <c r="AV127">
        <v>491.96499999999997</v>
      </c>
      <c r="AW127">
        <v>1172.0609999999999</v>
      </c>
      <c r="AX127">
        <v>662.68299999999999</v>
      </c>
      <c r="AY127">
        <v>332.29</v>
      </c>
      <c r="AZ127">
        <v>391.41399999999999</v>
      </c>
      <c r="BA127">
        <v>212.25200000000001</v>
      </c>
      <c r="BB127">
        <v>718.97500000000002</v>
      </c>
      <c r="BC127">
        <v>533.54700000000003</v>
      </c>
      <c r="BD127">
        <v>393.065</v>
      </c>
      <c r="BE127">
        <v>731.78200000000004</v>
      </c>
      <c r="BF127">
        <v>652.29174399999999</v>
      </c>
      <c r="BG127">
        <v>649.70241999999996</v>
      </c>
      <c r="BH127">
        <v>496.481349675427</v>
      </c>
      <c r="BI127">
        <v>507.44327544205402</v>
      </c>
      <c r="BJ127">
        <v>649.76974499999994</v>
      </c>
      <c r="BK127">
        <v>621.22320000000002</v>
      </c>
      <c r="BL127" cm="1">
        <f t="array" ref="BL127">INDEX(R127:W127,0,MATCH($A127,$R$1:$W$1,0))</f>
        <v>0.63605999999999996</v>
      </c>
      <c r="BM127" cm="1">
        <f t="array" ref="BM127">INDEX(AL127:AQ127,0,MATCH($A127,$R$1:$W$1,0))</f>
        <v>20.692062</v>
      </c>
      <c r="BN127" cm="1">
        <f t="array" ref="BN127">INDEX(BF127:BK127,0,MATCH($A127,$R$1:$W$1,0))</f>
        <v>621.22320000000002</v>
      </c>
    </row>
    <row r="128" spans="1:66" x14ac:dyDescent="0.35">
      <c r="A128" t="s">
        <v>63</v>
      </c>
      <c r="B128">
        <v>1797486.11</v>
      </c>
      <c r="C128">
        <v>2020</v>
      </c>
      <c r="D128">
        <v>0.443</v>
      </c>
      <c r="E128">
        <v>0.497</v>
      </c>
      <c r="F128">
        <v>0.51100000000000001</v>
      </c>
      <c r="G128">
        <v>0.54199999999999904</v>
      </c>
      <c r="H128">
        <v>0.47233333333333299</v>
      </c>
      <c r="I128">
        <v>0.48799999999999999</v>
      </c>
      <c r="J128">
        <v>0.55366666666666597</v>
      </c>
      <c r="K128">
        <v>0.58599999999999997</v>
      </c>
      <c r="L128">
        <v>0.56166666666666598</v>
      </c>
      <c r="M128">
        <v>0.61966666666666603</v>
      </c>
      <c r="N128">
        <v>0.57633333333333303</v>
      </c>
      <c r="O128">
        <v>0.48899999999999999</v>
      </c>
      <c r="P128">
        <v>0.49033333333333301</v>
      </c>
      <c r="Q128">
        <v>0.57733333333333303</v>
      </c>
      <c r="R128">
        <v>0.59791333333333296</v>
      </c>
      <c r="S128">
        <v>0.53238999999999903</v>
      </c>
      <c r="T128">
        <v>0.51825851821966595</v>
      </c>
      <c r="U128">
        <v>0.52520952488466599</v>
      </c>
      <c r="V128">
        <v>0.64928166666666598</v>
      </c>
      <c r="W128">
        <v>0.60584400000000005</v>
      </c>
      <c r="X128">
        <v>16.93</v>
      </c>
      <c r="Y128">
        <v>17.934999999999999</v>
      </c>
      <c r="Z128">
        <v>17.163</v>
      </c>
      <c r="AA128">
        <v>18.001999999999999</v>
      </c>
      <c r="AB128">
        <v>17.57</v>
      </c>
      <c r="AC128">
        <v>17.401</v>
      </c>
      <c r="AD128">
        <v>17.460999999999999</v>
      </c>
      <c r="AE128">
        <v>20.67</v>
      </c>
      <c r="AF128">
        <v>19.152000000000001</v>
      </c>
      <c r="AG128">
        <v>20.881</v>
      </c>
      <c r="AH128">
        <v>17.71</v>
      </c>
      <c r="AI128">
        <v>18.536999999999999</v>
      </c>
      <c r="AJ128">
        <v>18.135999999999999</v>
      </c>
      <c r="AK128">
        <v>17.445</v>
      </c>
      <c r="AL128">
        <v>20.176714</v>
      </c>
      <c r="AM128">
        <v>17.75703</v>
      </c>
      <c r="AN128">
        <v>17.808739989799001</v>
      </c>
      <c r="AO128">
        <v>18.019058607843998</v>
      </c>
      <c r="AP128">
        <v>21.06439</v>
      </c>
      <c r="AQ128">
        <v>20.651627999999899</v>
      </c>
      <c r="AR128">
        <v>688.76099999999997</v>
      </c>
      <c r="AS128">
        <v>727.19</v>
      </c>
      <c r="AT128">
        <v>851.56299999999999</v>
      </c>
      <c r="AU128">
        <v>783.97</v>
      </c>
      <c r="AV128">
        <v>851.53699999999901</v>
      </c>
      <c r="AW128">
        <v>1387.1130000000001</v>
      </c>
      <c r="AX128">
        <v>1104.7560000000001</v>
      </c>
      <c r="AY128">
        <v>617.6</v>
      </c>
      <c r="AZ128">
        <v>571.49099999999999</v>
      </c>
      <c r="BA128">
        <v>424.02100000000002</v>
      </c>
      <c r="BB128">
        <v>1219.4780000000001</v>
      </c>
      <c r="BC128">
        <v>796.54</v>
      </c>
      <c r="BD128">
        <v>635.56200000000001</v>
      </c>
      <c r="BE128">
        <v>1359.3869999999999</v>
      </c>
      <c r="BF128">
        <v>1076.4272800000001</v>
      </c>
      <c r="BG128">
        <v>1027.2191499999999</v>
      </c>
      <c r="BH128">
        <v>841.12282061880296</v>
      </c>
      <c r="BI128">
        <v>848.58773182212599</v>
      </c>
      <c r="BJ128">
        <v>1111.7233349999999</v>
      </c>
      <c r="BK128">
        <v>1018.615378</v>
      </c>
      <c r="BL128" cm="1">
        <f t="array" ref="BL128">INDEX(R128:W128,0,MATCH($A128,$R$1:$W$1,0))</f>
        <v>0.52520952488466599</v>
      </c>
      <c r="BM128" cm="1">
        <f t="array" ref="BM128">INDEX(AL128:AQ128,0,MATCH($A128,$R$1:$W$1,0))</f>
        <v>18.019058607843998</v>
      </c>
      <c r="BN128" cm="1">
        <f t="array" ref="BN128">INDEX(BF128:BK128,0,MATCH($A128,$R$1:$W$1,0))</f>
        <v>848.58773182212599</v>
      </c>
    </row>
    <row r="129" spans="1:66" x14ac:dyDescent="0.35">
      <c r="A129" t="s">
        <v>64</v>
      </c>
      <c r="B129">
        <v>761883.04</v>
      </c>
      <c r="C129">
        <v>2020</v>
      </c>
      <c r="D129">
        <v>0.443</v>
      </c>
      <c r="E129">
        <v>0.497</v>
      </c>
      <c r="F129">
        <v>0.51100000000000001</v>
      </c>
      <c r="G129">
        <v>0.54199999999999904</v>
      </c>
      <c r="H129">
        <v>0.47233333333333299</v>
      </c>
      <c r="I129">
        <v>0.48799999999999999</v>
      </c>
      <c r="J129">
        <v>0.55366666666666597</v>
      </c>
      <c r="K129">
        <v>0.58599999999999997</v>
      </c>
      <c r="L129">
        <v>0.56166666666666598</v>
      </c>
      <c r="M129">
        <v>0.61966666666666603</v>
      </c>
      <c r="N129">
        <v>0.57633333333333303</v>
      </c>
      <c r="O129">
        <v>0.48899999999999999</v>
      </c>
      <c r="P129">
        <v>0.49033333333333301</v>
      </c>
      <c r="Q129">
        <v>0.57733333333333303</v>
      </c>
      <c r="R129">
        <v>0.59791333333333296</v>
      </c>
      <c r="S129">
        <v>0.53238999999999903</v>
      </c>
      <c r="T129">
        <v>0.51825851821966595</v>
      </c>
      <c r="U129">
        <v>0.52520952488466599</v>
      </c>
      <c r="V129">
        <v>0.64928166666666598</v>
      </c>
      <c r="W129">
        <v>0.60584400000000005</v>
      </c>
      <c r="X129">
        <v>16.93</v>
      </c>
      <c r="Y129">
        <v>17.934999999999999</v>
      </c>
      <c r="Z129">
        <v>17.163</v>
      </c>
      <c r="AA129">
        <v>18.001999999999999</v>
      </c>
      <c r="AB129">
        <v>17.57</v>
      </c>
      <c r="AC129">
        <v>17.401</v>
      </c>
      <c r="AD129">
        <v>17.460999999999999</v>
      </c>
      <c r="AE129">
        <v>20.67</v>
      </c>
      <c r="AF129">
        <v>19.152000000000001</v>
      </c>
      <c r="AG129">
        <v>20.881</v>
      </c>
      <c r="AH129">
        <v>17.71</v>
      </c>
      <c r="AI129">
        <v>18.536999999999999</v>
      </c>
      <c r="AJ129">
        <v>18.135999999999999</v>
      </c>
      <c r="AK129">
        <v>17.445</v>
      </c>
      <c r="AL129">
        <v>20.176714</v>
      </c>
      <c r="AM129">
        <v>17.75703</v>
      </c>
      <c r="AN129">
        <v>17.808739989799001</v>
      </c>
      <c r="AO129">
        <v>18.019058607843998</v>
      </c>
      <c r="AP129">
        <v>21.06439</v>
      </c>
      <c r="AQ129">
        <v>20.651627999999899</v>
      </c>
      <c r="AR129">
        <v>688.76099999999997</v>
      </c>
      <c r="AS129">
        <v>727.19</v>
      </c>
      <c r="AT129">
        <v>851.56299999999999</v>
      </c>
      <c r="AU129">
        <v>783.97</v>
      </c>
      <c r="AV129">
        <v>851.53699999999901</v>
      </c>
      <c r="AW129">
        <v>1387.1130000000001</v>
      </c>
      <c r="AX129">
        <v>1104.7560000000001</v>
      </c>
      <c r="AY129">
        <v>617.6</v>
      </c>
      <c r="AZ129">
        <v>571.49099999999999</v>
      </c>
      <c r="BA129">
        <v>424.02100000000002</v>
      </c>
      <c r="BB129">
        <v>1219.4780000000001</v>
      </c>
      <c r="BC129">
        <v>796.54</v>
      </c>
      <c r="BD129">
        <v>635.56200000000001</v>
      </c>
      <c r="BE129">
        <v>1359.3869999999999</v>
      </c>
      <c r="BF129">
        <v>1076.4272800000001</v>
      </c>
      <c r="BG129">
        <v>1027.2191499999999</v>
      </c>
      <c r="BH129">
        <v>841.12282061880296</v>
      </c>
      <c r="BI129">
        <v>848.58773182212599</v>
      </c>
      <c r="BJ129">
        <v>1111.7233349999999</v>
      </c>
      <c r="BK129">
        <v>1018.615378</v>
      </c>
      <c r="BL129" cm="1">
        <f t="array" ref="BL129">INDEX(R129:W129,0,MATCH($A129,$R$1:$W$1,0))</f>
        <v>0.59791333333333296</v>
      </c>
      <c r="BM129" cm="1">
        <f t="array" ref="BM129">INDEX(AL129:AQ129,0,MATCH($A129,$R$1:$W$1,0))</f>
        <v>20.176714</v>
      </c>
      <c r="BN129" cm="1">
        <f t="array" ref="BN129">INDEX(BF129:BK129,0,MATCH($A129,$R$1:$W$1,0))</f>
        <v>1076.4272800000001</v>
      </c>
    </row>
    <row r="130" spans="1:66" x14ac:dyDescent="0.35">
      <c r="A130" t="s">
        <v>65</v>
      </c>
      <c r="B130">
        <v>1144854.92</v>
      </c>
      <c r="C130">
        <v>2020</v>
      </c>
      <c r="D130">
        <v>0.443</v>
      </c>
      <c r="E130">
        <v>0.497</v>
      </c>
      <c r="F130">
        <v>0.51100000000000001</v>
      </c>
      <c r="G130">
        <v>0.54199999999999904</v>
      </c>
      <c r="H130">
        <v>0.47233333333333299</v>
      </c>
      <c r="I130">
        <v>0.48799999999999999</v>
      </c>
      <c r="J130">
        <v>0.55366666666666597</v>
      </c>
      <c r="K130">
        <v>0.58599999999999997</v>
      </c>
      <c r="L130">
        <v>0.56166666666666598</v>
      </c>
      <c r="M130">
        <v>0.61966666666666603</v>
      </c>
      <c r="N130">
        <v>0.57633333333333303</v>
      </c>
      <c r="O130">
        <v>0.48899999999999999</v>
      </c>
      <c r="P130">
        <v>0.49033333333333301</v>
      </c>
      <c r="Q130">
        <v>0.57733333333333303</v>
      </c>
      <c r="R130">
        <v>0.59791333333333296</v>
      </c>
      <c r="S130">
        <v>0.53238999999999903</v>
      </c>
      <c r="T130">
        <v>0.51825851821966595</v>
      </c>
      <c r="U130">
        <v>0.52520952488466599</v>
      </c>
      <c r="V130">
        <v>0.64928166666666598</v>
      </c>
      <c r="W130">
        <v>0.60584400000000005</v>
      </c>
      <c r="X130">
        <v>16.93</v>
      </c>
      <c r="Y130">
        <v>17.934999999999999</v>
      </c>
      <c r="Z130">
        <v>17.163</v>
      </c>
      <c r="AA130">
        <v>18.001999999999999</v>
      </c>
      <c r="AB130">
        <v>17.57</v>
      </c>
      <c r="AC130">
        <v>17.401</v>
      </c>
      <c r="AD130">
        <v>17.460999999999999</v>
      </c>
      <c r="AE130">
        <v>20.67</v>
      </c>
      <c r="AF130">
        <v>19.152000000000001</v>
      </c>
      <c r="AG130">
        <v>20.881</v>
      </c>
      <c r="AH130">
        <v>17.71</v>
      </c>
      <c r="AI130">
        <v>18.536999999999999</v>
      </c>
      <c r="AJ130">
        <v>18.135999999999999</v>
      </c>
      <c r="AK130">
        <v>17.445</v>
      </c>
      <c r="AL130">
        <v>20.176714</v>
      </c>
      <c r="AM130">
        <v>17.75703</v>
      </c>
      <c r="AN130">
        <v>17.808739989799001</v>
      </c>
      <c r="AO130">
        <v>18.019058607843998</v>
      </c>
      <c r="AP130">
        <v>21.06439</v>
      </c>
      <c r="AQ130">
        <v>20.651627999999899</v>
      </c>
      <c r="AR130">
        <v>688.76099999999997</v>
      </c>
      <c r="AS130">
        <v>727.19</v>
      </c>
      <c r="AT130">
        <v>851.56299999999999</v>
      </c>
      <c r="AU130">
        <v>783.97</v>
      </c>
      <c r="AV130">
        <v>851.53699999999901</v>
      </c>
      <c r="AW130">
        <v>1387.1130000000001</v>
      </c>
      <c r="AX130">
        <v>1104.7560000000001</v>
      </c>
      <c r="AY130">
        <v>617.6</v>
      </c>
      <c r="AZ130">
        <v>571.49099999999999</v>
      </c>
      <c r="BA130">
        <v>424.02100000000002</v>
      </c>
      <c r="BB130">
        <v>1219.4780000000001</v>
      </c>
      <c r="BC130">
        <v>796.54</v>
      </c>
      <c r="BD130">
        <v>635.56200000000001</v>
      </c>
      <c r="BE130">
        <v>1359.3869999999999</v>
      </c>
      <c r="BF130">
        <v>1076.4272800000001</v>
      </c>
      <c r="BG130">
        <v>1027.2191499999999</v>
      </c>
      <c r="BH130">
        <v>841.12282061880296</v>
      </c>
      <c r="BI130">
        <v>848.58773182212599</v>
      </c>
      <c r="BJ130">
        <v>1111.7233349999999</v>
      </c>
      <c r="BK130">
        <v>1018.615378</v>
      </c>
      <c r="BL130" cm="1">
        <f t="array" ref="BL130">INDEX(R130:W130,0,MATCH($A130,$R$1:$W$1,0))</f>
        <v>0.51825851821966595</v>
      </c>
      <c r="BM130" cm="1">
        <f t="array" ref="BM130">INDEX(AL130:AQ130,0,MATCH($A130,$R$1:$W$1,0))</f>
        <v>17.808739989799001</v>
      </c>
      <c r="BN130" cm="1">
        <f t="array" ref="BN130">INDEX(BF130:BK130,0,MATCH($A130,$R$1:$W$1,0))</f>
        <v>841.12282061880296</v>
      </c>
    </row>
    <row r="131" spans="1:66" x14ac:dyDescent="0.35">
      <c r="A131" t="s">
        <v>66</v>
      </c>
      <c r="B131">
        <v>1349723.01</v>
      </c>
      <c r="C131">
        <v>2020</v>
      </c>
      <c r="D131">
        <v>0.443</v>
      </c>
      <c r="E131">
        <v>0.497</v>
      </c>
      <c r="F131">
        <v>0.51100000000000001</v>
      </c>
      <c r="G131">
        <v>0.54199999999999904</v>
      </c>
      <c r="H131">
        <v>0.47233333333333299</v>
      </c>
      <c r="I131">
        <v>0.48799999999999999</v>
      </c>
      <c r="J131">
        <v>0.55366666666666597</v>
      </c>
      <c r="K131">
        <v>0.58599999999999997</v>
      </c>
      <c r="L131">
        <v>0.56166666666666598</v>
      </c>
      <c r="M131">
        <v>0.61966666666666603</v>
      </c>
      <c r="N131">
        <v>0.57633333333333303</v>
      </c>
      <c r="O131">
        <v>0.48899999999999999</v>
      </c>
      <c r="P131">
        <v>0.49033333333333301</v>
      </c>
      <c r="Q131">
        <v>0.57733333333333303</v>
      </c>
      <c r="R131">
        <v>0.59791333333333296</v>
      </c>
      <c r="S131">
        <v>0.53238999999999903</v>
      </c>
      <c r="T131">
        <v>0.51825851821966595</v>
      </c>
      <c r="U131">
        <v>0.52520952488466599</v>
      </c>
      <c r="V131">
        <v>0.64928166666666598</v>
      </c>
      <c r="W131">
        <v>0.60584400000000005</v>
      </c>
      <c r="X131">
        <v>16.93</v>
      </c>
      <c r="Y131">
        <v>17.934999999999999</v>
      </c>
      <c r="Z131">
        <v>17.163</v>
      </c>
      <c r="AA131">
        <v>18.001999999999999</v>
      </c>
      <c r="AB131">
        <v>17.57</v>
      </c>
      <c r="AC131">
        <v>17.401</v>
      </c>
      <c r="AD131">
        <v>17.460999999999999</v>
      </c>
      <c r="AE131">
        <v>20.67</v>
      </c>
      <c r="AF131">
        <v>19.152000000000001</v>
      </c>
      <c r="AG131">
        <v>20.881</v>
      </c>
      <c r="AH131">
        <v>17.71</v>
      </c>
      <c r="AI131">
        <v>18.536999999999999</v>
      </c>
      <c r="AJ131">
        <v>18.135999999999999</v>
      </c>
      <c r="AK131">
        <v>17.445</v>
      </c>
      <c r="AL131">
        <v>20.176714</v>
      </c>
      <c r="AM131">
        <v>17.75703</v>
      </c>
      <c r="AN131">
        <v>17.808739989799001</v>
      </c>
      <c r="AO131">
        <v>18.019058607843998</v>
      </c>
      <c r="AP131">
        <v>21.06439</v>
      </c>
      <c r="AQ131">
        <v>20.651627999999899</v>
      </c>
      <c r="AR131">
        <v>688.76099999999997</v>
      </c>
      <c r="AS131">
        <v>727.19</v>
      </c>
      <c r="AT131">
        <v>851.56299999999999</v>
      </c>
      <c r="AU131">
        <v>783.97</v>
      </c>
      <c r="AV131">
        <v>851.53699999999901</v>
      </c>
      <c r="AW131">
        <v>1387.1130000000001</v>
      </c>
      <c r="AX131">
        <v>1104.7560000000001</v>
      </c>
      <c r="AY131">
        <v>617.6</v>
      </c>
      <c r="AZ131">
        <v>571.49099999999999</v>
      </c>
      <c r="BA131">
        <v>424.02100000000002</v>
      </c>
      <c r="BB131">
        <v>1219.4780000000001</v>
      </c>
      <c r="BC131">
        <v>796.54</v>
      </c>
      <c r="BD131">
        <v>635.56200000000001</v>
      </c>
      <c r="BE131">
        <v>1359.3869999999999</v>
      </c>
      <c r="BF131">
        <v>1076.4272800000001</v>
      </c>
      <c r="BG131">
        <v>1027.2191499999999</v>
      </c>
      <c r="BH131">
        <v>841.12282061880296</v>
      </c>
      <c r="BI131">
        <v>848.58773182212599</v>
      </c>
      <c r="BJ131">
        <v>1111.7233349999999</v>
      </c>
      <c r="BK131">
        <v>1018.615378</v>
      </c>
      <c r="BL131" cm="1">
        <f t="array" ref="BL131">INDEX(R131:W131,0,MATCH($A131,$R$1:$W$1,0))</f>
        <v>0.64928166666666598</v>
      </c>
      <c r="BM131" cm="1">
        <f t="array" ref="BM131">INDEX(AL131:AQ131,0,MATCH($A131,$R$1:$W$1,0))</f>
        <v>21.06439</v>
      </c>
      <c r="BN131" cm="1">
        <f t="array" ref="BN131">INDEX(BF131:BK131,0,MATCH($A131,$R$1:$W$1,0))</f>
        <v>1111.7233349999999</v>
      </c>
    </row>
    <row r="132" spans="1:66" x14ac:dyDescent="0.35">
      <c r="A132" t="s">
        <v>67</v>
      </c>
      <c r="B132">
        <v>377322.86</v>
      </c>
      <c r="C132">
        <v>2020</v>
      </c>
      <c r="D132">
        <v>0.443</v>
      </c>
      <c r="E132">
        <v>0.497</v>
      </c>
      <c r="F132">
        <v>0.51100000000000001</v>
      </c>
      <c r="G132">
        <v>0.54199999999999904</v>
      </c>
      <c r="H132">
        <v>0.47233333333333299</v>
      </c>
      <c r="I132">
        <v>0.48799999999999999</v>
      </c>
      <c r="J132">
        <v>0.55366666666666597</v>
      </c>
      <c r="K132">
        <v>0.58599999999999997</v>
      </c>
      <c r="L132">
        <v>0.56166666666666598</v>
      </c>
      <c r="M132">
        <v>0.61966666666666603</v>
      </c>
      <c r="N132">
        <v>0.57633333333333303</v>
      </c>
      <c r="O132">
        <v>0.48899999999999999</v>
      </c>
      <c r="P132">
        <v>0.49033333333333301</v>
      </c>
      <c r="Q132">
        <v>0.57733333333333303</v>
      </c>
      <c r="R132">
        <v>0.59791333333333296</v>
      </c>
      <c r="S132">
        <v>0.53238999999999903</v>
      </c>
      <c r="T132">
        <v>0.51825851821966595</v>
      </c>
      <c r="U132">
        <v>0.52520952488466599</v>
      </c>
      <c r="V132">
        <v>0.64928166666666598</v>
      </c>
      <c r="W132">
        <v>0.60584400000000005</v>
      </c>
      <c r="X132">
        <v>16.93</v>
      </c>
      <c r="Y132">
        <v>17.934999999999999</v>
      </c>
      <c r="Z132">
        <v>17.163</v>
      </c>
      <c r="AA132">
        <v>18.001999999999999</v>
      </c>
      <c r="AB132">
        <v>17.57</v>
      </c>
      <c r="AC132">
        <v>17.401</v>
      </c>
      <c r="AD132">
        <v>17.460999999999999</v>
      </c>
      <c r="AE132">
        <v>20.67</v>
      </c>
      <c r="AF132">
        <v>19.152000000000001</v>
      </c>
      <c r="AG132">
        <v>20.881</v>
      </c>
      <c r="AH132">
        <v>17.71</v>
      </c>
      <c r="AI132">
        <v>18.536999999999999</v>
      </c>
      <c r="AJ132">
        <v>18.135999999999999</v>
      </c>
      <c r="AK132">
        <v>17.445</v>
      </c>
      <c r="AL132">
        <v>20.176714</v>
      </c>
      <c r="AM132">
        <v>17.75703</v>
      </c>
      <c r="AN132">
        <v>17.808739989799001</v>
      </c>
      <c r="AO132">
        <v>18.019058607843998</v>
      </c>
      <c r="AP132">
        <v>21.06439</v>
      </c>
      <c r="AQ132">
        <v>20.651627999999899</v>
      </c>
      <c r="AR132">
        <v>688.76099999999997</v>
      </c>
      <c r="AS132">
        <v>727.19</v>
      </c>
      <c r="AT132">
        <v>851.56299999999999</v>
      </c>
      <c r="AU132">
        <v>783.97</v>
      </c>
      <c r="AV132">
        <v>851.53699999999901</v>
      </c>
      <c r="AW132">
        <v>1387.1130000000001</v>
      </c>
      <c r="AX132">
        <v>1104.7560000000001</v>
      </c>
      <c r="AY132">
        <v>617.6</v>
      </c>
      <c r="AZ132">
        <v>571.49099999999999</v>
      </c>
      <c r="BA132">
        <v>424.02100000000002</v>
      </c>
      <c r="BB132">
        <v>1219.4780000000001</v>
      </c>
      <c r="BC132">
        <v>796.54</v>
      </c>
      <c r="BD132">
        <v>635.56200000000001</v>
      </c>
      <c r="BE132">
        <v>1359.3869999999999</v>
      </c>
      <c r="BF132">
        <v>1076.4272800000001</v>
      </c>
      <c r="BG132">
        <v>1027.2191499999999</v>
      </c>
      <c r="BH132">
        <v>841.12282061880296</v>
      </c>
      <c r="BI132">
        <v>848.58773182212599</v>
      </c>
      <c r="BJ132">
        <v>1111.7233349999999</v>
      </c>
      <c r="BK132">
        <v>1018.615378</v>
      </c>
      <c r="BL132" cm="1">
        <f t="array" ref="BL132">INDEX(R132:W132,0,MATCH($A132,$R$1:$W$1,0))</f>
        <v>0.60584400000000005</v>
      </c>
      <c r="BM132" cm="1">
        <f t="array" ref="BM132">INDEX(AL132:AQ132,0,MATCH($A132,$R$1:$W$1,0))</f>
        <v>20.651627999999899</v>
      </c>
      <c r="BN132" cm="1">
        <f t="array" ref="BN132">INDEX(BF132:BK132,0,MATCH($A132,$R$1:$W$1,0))</f>
        <v>1018.615378</v>
      </c>
    </row>
    <row r="133" spans="1:66" x14ac:dyDescent="0.35">
      <c r="A133" t="s">
        <v>63</v>
      </c>
      <c r="B133">
        <v>1677803.56</v>
      </c>
      <c r="C133">
        <v>2021</v>
      </c>
      <c r="D133">
        <v>0.51300000000000001</v>
      </c>
      <c r="E133">
        <v>0.49333333333333301</v>
      </c>
      <c r="F133">
        <v>0.49933333333333302</v>
      </c>
      <c r="G133">
        <v>0.43566666666666598</v>
      </c>
      <c r="H133">
        <v>0.44566666666666599</v>
      </c>
      <c r="I133">
        <v>0.65866666666666596</v>
      </c>
      <c r="J133">
        <v>0.60799999999999998</v>
      </c>
      <c r="K133">
        <v>0.47666666666666602</v>
      </c>
      <c r="L133">
        <v>0.498999999999999</v>
      </c>
      <c r="M133">
        <v>0.53433333333333299</v>
      </c>
      <c r="N133">
        <v>0.58199999999999996</v>
      </c>
      <c r="O133">
        <v>0.55900000000000005</v>
      </c>
      <c r="P133">
        <v>0.51400000000000001</v>
      </c>
      <c r="Q133">
        <v>0.59066666666666601</v>
      </c>
      <c r="R133">
        <v>0.61294066666666602</v>
      </c>
      <c r="S133">
        <v>0.58828999999999998</v>
      </c>
      <c r="T133">
        <v>0.49272296265233301</v>
      </c>
      <c r="U133">
        <v>0.50504333443933302</v>
      </c>
      <c r="V133">
        <v>0.64907833333333298</v>
      </c>
      <c r="W133">
        <v>0.59623066666666602</v>
      </c>
      <c r="X133">
        <v>18.085999999999999</v>
      </c>
      <c r="Y133">
        <v>19.164000000000001</v>
      </c>
      <c r="Z133">
        <v>18.469000000000001</v>
      </c>
      <c r="AA133">
        <v>19.806000000000001</v>
      </c>
      <c r="AB133">
        <v>18.745999999999999</v>
      </c>
      <c r="AC133">
        <v>19.114000000000001</v>
      </c>
      <c r="AD133">
        <v>19.068999999999999</v>
      </c>
      <c r="AE133">
        <v>20.692</v>
      </c>
      <c r="AF133">
        <v>19.37</v>
      </c>
      <c r="AG133">
        <v>21.13</v>
      </c>
      <c r="AH133">
        <v>20.611000000000001</v>
      </c>
      <c r="AI133">
        <v>18.771999999999998</v>
      </c>
      <c r="AJ133">
        <v>19.047000000000001</v>
      </c>
      <c r="AK133">
        <v>20.388000000000002</v>
      </c>
      <c r="AL133">
        <v>21.848994000000001</v>
      </c>
      <c r="AM133">
        <v>19.046489999999999</v>
      </c>
      <c r="AN133">
        <v>19.188706655768001</v>
      </c>
      <c r="AO133">
        <v>19.281028610818002</v>
      </c>
      <c r="AP133">
        <v>22.99371</v>
      </c>
      <c r="AQ133">
        <v>22.2592</v>
      </c>
      <c r="AR133">
        <v>645.99800000000005</v>
      </c>
      <c r="AS133">
        <v>660.11099999999999</v>
      </c>
      <c r="AT133">
        <v>828.25699999999995</v>
      </c>
      <c r="AU133">
        <v>1094.8309999999999</v>
      </c>
      <c r="AV133">
        <v>1102.116</v>
      </c>
      <c r="AW133">
        <v>1539.8040000000001</v>
      </c>
      <c r="AX133">
        <v>1456.114</v>
      </c>
      <c r="AY133">
        <v>533.14099999999996</v>
      </c>
      <c r="AZ133">
        <v>472.62700000000001</v>
      </c>
      <c r="BA133">
        <v>311.24299999999999</v>
      </c>
      <c r="BB133">
        <v>1600.6020000000001</v>
      </c>
      <c r="BC133">
        <v>1055.3689999999999</v>
      </c>
      <c r="BD133">
        <v>619.66599999999903</v>
      </c>
      <c r="BE133">
        <v>1370.701</v>
      </c>
      <c r="BF133">
        <v>1313.8959139999999</v>
      </c>
      <c r="BG133">
        <v>1340.7899</v>
      </c>
      <c r="BH133">
        <v>1012.3561061844</v>
      </c>
      <c r="BI133">
        <v>1025.02809331459</v>
      </c>
      <c r="BJ133">
        <v>1294.8849</v>
      </c>
      <c r="BK133">
        <v>1263.132638</v>
      </c>
      <c r="BL133" cm="1">
        <f t="array" ref="BL133">INDEX(R133:W133,0,MATCH($A133,$R$1:$W$1,0))</f>
        <v>0.50504333443933302</v>
      </c>
      <c r="BM133" cm="1">
        <f t="array" ref="BM133">INDEX(AL133:AQ133,0,MATCH($A133,$R$1:$W$1,0))</f>
        <v>19.281028610818002</v>
      </c>
      <c r="BN133" cm="1">
        <f t="array" ref="BN133">INDEX(BF133:BK133,0,MATCH($A133,$R$1:$W$1,0))</f>
        <v>1025.02809331459</v>
      </c>
    </row>
    <row r="134" spans="1:66" x14ac:dyDescent="0.35">
      <c r="A134" t="s">
        <v>64</v>
      </c>
      <c r="B134">
        <v>754620.83</v>
      </c>
      <c r="C134">
        <v>2021</v>
      </c>
      <c r="D134">
        <v>0.51300000000000001</v>
      </c>
      <c r="E134">
        <v>0.49333333333333301</v>
      </c>
      <c r="F134">
        <v>0.49933333333333302</v>
      </c>
      <c r="G134">
        <v>0.43566666666666598</v>
      </c>
      <c r="H134">
        <v>0.44566666666666599</v>
      </c>
      <c r="I134">
        <v>0.65866666666666596</v>
      </c>
      <c r="J134">
        <v>0.60799999999999998</v>
      </c>
      <c r="K134">
        <v>0.47666666666666602</v>
      </c>
      <c r="L134">
        <v>0.498999999999999</v>
      </c>
      <c r="M134">
        <v>0.53433333333333299</v>
      </c>
      <c r="N134">
        <v>0.58199999999999996</v>
      </c>
      <c r="O134">
        <v>0.55900000000000005</v>
      </c>
      <c r="P134">
        <v>0.51400000000000001</v>
      </c>
      <c r="Q134">
        <v>0.59066666666666601</v>
      </c>
      <c r="R134">
        <v>0.61294066666666602</v>
      </c>
      <c r="S134">
        <v>0.58828999999999998</v>
      </c>
      <c r="T134">
        <v>0.49272296265233301</v>
      </c>
      <c r="U134">
        <v>0.50504333443933302</v>
      </c>
      <c r="V134">
        <v>0.64907833333333298</v>
      </c>
      <c r="W134">
        <v>0.59623066666666602</v>
      </c>
      <c r="X134">
        <v>18.085999999999999</v>
      </c>
      <c r="Y134">
        <v>19.164000000000001</v>
      </c>
      <c r="Z134">
        <v>18.469000000000001</v>
      </c>
      <c r="AA134">
        <v>19.806000000000001</v>
      </c>
      <c r="AB134">
        <v>18.745999999999999</v>
      </c>
      <c r="AC134">
        <v>19.114000000000001</v>
      </c>
      <c r="AD134">
        <v>19.068999999999999</v>
      </c>
      <c r="AE134">
        <v>20.692</v>
      </c>
      <c r="AF134">
        <v>19.37</v>
      </c>
      <c r="AG134">
        <v>21.13</v>
      </c>
      <c r="AH134">
        <v>20.611000000000001</v>
      </c>
      <c r="AI134">
        <v>18.771999999999998</v>
      </c>
      <c r="AJ134">
        <v>19.047000000000001</v>
      </c>
      <c r="AK134">
        <v>20.388000000000002</v>
      </c>
      <c r="AL134">
        <v>21.848994000000001</v>
      </c>
      <c r="AM134">
        <v>19.046489999999999</v>
      </c>
      <c r="AN134">
        <v>19.188706655768001</v>
      </c>
      <c r="AO134">
        <v>19.281028610818002</v>
      </c>
      <c r="AP134">
        <v>22.99371</v>
      </c>
      <c r="AQ134">
        <v>22.2592</v>
      </c>
      <c r="AR134">
        <v>645.99800000000005</v>
      </c>
      <c r="AS134">
        <v>660.11099999999999</v>
      </c>
      <c r="AT134">
        <v>828.25699999999995</v>
      </c>
      <c r="AU134">
        <v>1094.8309999999999</v>
      </c>
      <c r="AV134">
        <v>1102.116</v>
      </c>
      <c r="AW134">
        <v>1539.8040000000001</v>
      </c>
      <c r="AX134">
        <v>1456.114</v>
      </c>
      <c r="AY134">
        <v>533.14099999999996</v>
      </c>
      <c r="AZ134">
        <v>472.62700000000001</v>
      </c>
      <c r="BA134">
        <v>311.24299999999999</v>
      </c>
      <c r="BB134">
        <v>1600.6020000000001</v>
      </c>
      <c r="BC134">
        <v>1055.3689999999999</v>
      </c>
      <c r="BD134">
        <v>619.66599999999903</v>
      </c>
      <c r="BE134">
        <v>1370.701</v>
      </c>
      <c r="BF134">
        <v>1313.8959139999999</v>
      </c>
      <c r="BG134">
        <v>1340.7899</v>
      </c>
      <c r="BH134">
        <v>1012.3561061844</v>
      </c>
      <c r="BI134">
        <v>1025.02809331459</v>
      </c>
      <c r="BJ134">
        <v>1294.8849</v>
      </c>
      <c r="BK134">
        <v>1263.132638</v>
      </c>
      <c r="BL134" cm="1">
        <f t="array" ref="BL134">INDEX(R134:W134,0,MATCH($A134,$R$1:$W$1,0))</f>
        <v>0.61294066666666602</v>
      </c>
      <c r="BM134" cm="1">
        <f t="array" ref="BM134">INDEX(AL134:AQ134,0,MATCH($A134,$R$1:$W$1,0))</f>
        <v>21.848994000000001</v>
      </c>
      <c r="BN134" cm="1">
        <f t="array" ref="BN134">INDEX(BF134:BK134,0,MATCH($A134,$R$1:$W$1,0))</f>
        <v>1313.8959139999999</v>
      </c>
    </row>
    <row r="135" spans="1:66" x14ac:dyDescent="0.35">
      <c r="A135" t="s">
        <v>65</v>
      </c>
      <c r="B135">
        <v>1039859.75</v>
      </c>
      <c r="C135">
        <v>2021</v>
      </c>
      <c r="D135">
        <v>0.51300000000000001</v>
      </c>
      <c r="E135">
        <v>0.49333333333333301</v>
      </c>
      <c r="F135">
        <v>0.49933333333333302</v>
      </c>
      <c r="G135">
        <v>0.43566666666666598</v>
      </c>
      <c r="H135">
        <v>0.44566666666666599</v>
      </c>
      <c r="I135">
        <v>0.65866666666666596</v>
      </c>
      <c r="J135">
        <v>0.60799999999999998</v>
      </c>
      <c r="K135">
        <v>0.47666666666666602</v>
      </c>
      <c r="L135">
        <v>0.498999999999999</v>
      </c>
      <c r="M135">
        <v>0.53433333333333299</v>
      </c>
      <c r="N135">
        <v>0.58199999999999996</v>
      </c>
      <c r="O135">
        <v>0.55900000000000005</v>
      </c>
      <c r="P135">
        <v>0.51400000000000001</v>
      </c>
      <c r="Q135">
        <v>0.59066666666666601</v>
      </c>
      <c r="R135">
        <v>0.61294066666666602</v>
      </c>
      <c r="S135">
        <v>0.58828999999999998</v>
      </c>
      <c r="T135">
        <v>0.49272296265233301</v>
      </c>
      <c r="U135">
        <v>0.50504333443933302</v>
      </c>
      <c r="V135">
        <v>0.64907833333333298</v>
      </c>
      <c r="W135">
        <v>0.59623066666666602</v>
      </c>
      <c r="X135">
        <v>18.085999999999999</v>
      </c>
      <c r="Y135">
        <v>19.164000000000001</v>
      </c>
      <c r="Z135">
        <v>18.469000000000001</v>
      </c>
      <c r="AA135">
        <v>19.806000000000001</v>
      </c>
      <c r="AB135">
        <v>18.745999999999999</v>
      </c>
      <c r="AC135">
        <v>19.114000000000001</v>
      </c>
      <c r="AD135">
        <v>19.068999999999999</v>
      </c>
      <c r="AE135">
        <v>20.692</v>
      </c>
      <c r="AF135">
        <v>19.37</v>
      </c>
      <c r="AG135">
        <v>21.13</v>
      </c>
      <c r="AH135">
        <v>20.611000000000001</v>
      </c>
      <c r="AI135">
        <v>18.771999999999998</v>
      </c>
      <c r="AJ135">
        <v>19.047000000000001</v>
      </c>
      <c r="AK135">
        <v>20.388000000000002</v>
      </c>
      <c r="AL135">
        <v>21.848994000000001</v>
      </c>
      <c r="AM135">
        <v>19.046489999999999</v>
      </c>
      <c r="AN135">
        <v>19.188706655768001</v>
      </c>
      <c r="AO135">
        <v>19.281028610818002</v>
      </c>
      <c r="AP135">
        <v>22.99371</v>
      </c>
      <c r="AQ135">
        <v>22.2592</v>
      </c>
      <c r="AR135">
        <v>645.99800000000005</v>
      </c>
      <c r="AS135">
        <v>660.11099999999999</v>
      </c>
      <c r="AT135">
        <v>828.25699999999995</v>
      </c>
      <c r="AU135">
        <v>1094.8309999999999</v>
      </c>
      <c r="AV135">
        <v>1102.116</v>
      </c>
      <c r="AW135">
        <v>1539.8040000000001</v>
      </c>
      <c r="AX135">
        <v>1456.114</v>
      </c>
      <c r="AY135">
        <v>533.14099999999996</v>
      </c>
      <c r="AZ135">
        <v>472.62700000000001</v>
      </c>
      <c r="BA135">
        <v>311.24299999999999</v>
      </c>
      <c r="BB135">
        <v>1600.6020000000001</v>
      </c>
      <c r="BC135">
        <v>1055.3689999999999</v>
      </c>
      <c r="BD135">
        <v>619.66599999999903</v>
      </c>
      <c r="BE135">
        <v>1370.701</v>
      </c>
      <c r="BF135">
        <v>1313.8959139999999</v>
      </c>
      <c r="BG135">
        <v>1340.7899</v>
      </c>
      <c r="BH135">
        <v>1012.3561061844</v>
      </c>
      <c r="BI135">
        <v>1025.02809331459</v>
      </c>
      <c r="BJ135">
        <v>1294.8849</v>
      </c>
      <c r="BK135">
        <v>1263.132638</v>
      </c>
      <c r="BL135" cm="1">
        <f t="array" ref="BL135">INDEX(R135:W135,0,MATCH($A135,$R$1:$W$1,0))</f>
        <v>0.49272296265233301</v>
      </c>
      <c r="BM135" cm="1">
        <f t="array" ref="BM135">INDEX(AL135:AQ135,0,MATCH($A135,$R$1:$W$1,0))</f>
        <v>19.188706655768001</v>
      </c>
      <c r="BN135" cm="1">
        <f t="array" ref="BN135">INDEX(BF135:BK135,0,MATCH($A135,$R$1:$W$1,0))</f>
        <v>1012.3561061844</v>
      </c>
    </row>
    <row r="136" spans="1:66" x14ac:dyDescent="0.35">
      <c r="A136" t="s">
        <v>66</v>
      </c>
      <c r="B136">
        <v>1382119.93</v>
      </c>
      <c r="C136">
        <v>2021</v>
      </c>
      <c r="D136">
        <v>0.51300000000000001</v>
      </c>
      <c r="E136">
        <v>0.49333333333333301</v>
      </c>
      <c r="F136">
        <v>0.49933333333333302</v>
      </c>
      <c r="G136">
        <v>0.43566666666666598</v>
      </c>
      <c r="H136">
        <v>0.44566666666666599</v>
      </c>
      <c r="I136">
        <v>0.65866666666666596</v>
      </c>
      <c r="J136">
        <v>0.60799999999999998</v>
      </c>
      <c r="K136">
        <v>0.47666666666666602</v>
      </c>
      <c r="L136">
        <v>0.498999999999999</v>
      </c>
      <c r="M136">
        <v>0.53433333333333299</v>
      </c>
      <c r="N136">
        <v>0.58199999999999996</v>
      </c>
      <c r="O136">
        <v>0.55900000000000005</v>
      </c>
      <c r="P136">
        <v>0.51400000000000001</v>
      </c>
      <c r="Q136">
        <v>0.59066666666666601</v>
      </c>
      <c r="R136">
        <v>0.61294066666666602</v>
      </c>
      <c r="S136">
        <v>0.58828999999999998</v>
      </c>
      <c r="T136">
        <v>0.49272296265233301</v>
      </c>
      <c r="U136">
        <v>0.50504333443933302</v>
      </c>
      <c r="V136">
        <v>0.64907833333333298</v>
      </c>
      <c r="W136">
        <v>0.59623066666666602</v>
      </c>
      <c r="X136">
        <v>18.085999999999999</v>
      </c>
      <c r="Y136">
        <v>19.164000000000001</v>
      </c>
      <c r="Z136">
        <v>18.469000000000001</v>
      </c>
      <c r="AA136">
        <v>19.806000000000001</v>
      </c>
      <c r="AB136">
        <v>18.745999999999999</v>
      </c>
      <c r="AC136">
        <v>19.114000000000001</v>
      </c>
      <c r="AD136">
        <v>19.068999999999999</v>
      </c>
      <c r="AE136">
        <v>20.692</v>
      </c>
      <c r="AF136">
        <v>19.37</v>
      </c>
      <c r="AG136">
        <v>21.13</v>
      </c>
      <c r="AH136">
        <v>20.611000000000001</v>
      </c>
      <c r="AI136">
        <v>18.771999999999998</v>
      </c>
      <c r="AJ136">
        <v>19.047000000000001</v>
      </c>
      <c r="AK136">
        <v>20.388000000000002</v>
      </c>
      <c r="AL136">
        <v>21.848994000000001</v>
      </c>
      <c r="AM136">
        <v>19.046489999999999</v>
      </c>
      <c r="AN136">
        <v>19.188706655768001</v>
      </c>
      <c r="AO136">
        <v>19.281028610818002</v>
      </c>
      <c r="AP136">
        <v>22.99371</v>
      </c>
      <c r="AQ136">
        <v>22.2592</v>
      </c>
      <c r="AR136">
        <v>645.99800000000005</v>
      </c>
      <c r="AS136">
        <v>660.11099999999999</v>
      </c>
      <c r="AT136">
        <v>828.25699999999995</v>
      </c>
      <c r="AU136">
        <v>1094.8309999999999</v>
      </c>
      <c r="AV136">
        <v>1102.116</v>
      </c>
      <c r="AW136">
        <v>1539.8040000000001</v>
      </c>
      <c r="AX136">
        <v>1456.114</v>
      </c>
      <c r="AY136">
        <v>533.14099999999996</v>
      </c>
      <c r="AZ136">
        <v>472.62700000000001</v>
      </c>
      <c r="BA136">
        <v>311.24299999999999</v>
      </c>
      <c r="BB136">
        <v>1600.6020000000001</v>
      </c>
      <c r="BC136">
        <v>1055.3689999999999</v>
      </c>
      <c r="BD136">
        <v>619.66599999999903</v>
      </c>
      <c r="BE136">
        <v>1370.701</v>
      </c>
      <c r="BF136">
        <v>1313.8959139999999</v>
      </c>
      <c r="BG136">
        <v>1340.7899</v>
      </c>
      <c r="BH136">
        <v>1012.3561061844</v>
      </c>
      <c r="BI136">
        <v>1025.02809331459</v>
      </c>
      <c r="BJ136">
        <v>1294.8849</v>
      </c>
      <c r="BK136">
        <v>1263.132638</v>
      </c>
      <c r="BL136" cm="1">
        <f t="array" ref="BL136">INDEX(R136:W136,0,MATCH($A136,$R$1:$W$1,0))</f>
        <v>0.64907833333333298</v>
      </c>
      <c r="BM136" cm="1">
        <f t="array" ref="BM136">INDEX(AL136:AQ136,0,MATCH($A136,$R$1:$W$1,0))</f>
        <v>22.99371</v>
      </c>
      <c r="BN136" cm="1">
        <f t="array" ref="BN136">INDEX(BF136:BK136,0,MATCH($A136,$R$1:$W$1,0))</f>
        <v>1294.8849</v>
      </c>
    </row>
    <row r="137" spans="1:66" x14ac:dyDescent="0.35">
      <c r="A137" t="s">
        <v>67</v>
      </c>
      <c r="B137">
        <v>352474.34</v>
      </c>
      <c r="C137">
        <v>2021</v>
      </c>
      <c r="D137">
        <v>0.51300000000000001</v>
      </c>
      <c r="E137">
        <v>0.49333333333333301</v>
      </c>
      <c r="F137">
        <v>0.49933333333333302</v>
      </c>
      <c r="G137">
        <v>0.43566666666666598</v>
      </c>
      <c r="H137">
        <v>0.44566666666666599</v>
      </c>
      <c r="I137">
        <v>0.65866666666666596</v>
      </c>
      <c r="J137">
        <v>0.60799999999999998</v>
      </c>
      <c r="K137">
        <v>0.47666666666666602</v>
      </c>
      <c r="L137">
        <v>0.498999999999999</v>
      </c>
      <c r="M137">
        <v>0.53433333333333299</v>
      </c>
      <c r="N137">
        <v>0.58199999999999996</v>
      </c>
      <c r="O137">
        <v>0.55900000000000005</v>
      </c>
      <c r="P137">
        <v>0.51400000000000001</v>
      </c>
      <c r="Q137">
        <v>0.59066666666666601</v>
      </c>
      <c r="R137">
        <v>0.61294066666666602</v>
      </c>
      <c r="S137">
        <v>0.58828999999999998</v>
      </c>
      <c r="T137">
        <v>0.49272296265233301</v>
      </c>
      <c r="U137">
        <v>0.50504333443933302</v>
      </c>
      <c r="V137">
        <v>0.64907833333333298</v>
      </c>
      <c r="W137">
        <v>0.59623066666666602</v>
      </c>
      <c r="X137">
        <v>18.085999999999999</v>
      </c>
      <c r="Y137">
        <v>19.164000000000001</v>
      </c>
      <c r="Z137">
        <v>18.469000000000001</v>
      </c>
      <c r="AA137">
        <v>19.806000000000001</v>
      </c>
      <c r="AB137">
        <v>18.745999999999999</v>
      </c>
      <c r="AC137">
        <v>19.114000000000001</v>
      </c>
      <c r="AD137">
        <v>19.068999999999999</v>
      </c>
      <c r="AE137">
        <v>20.692</v>
      </c>
      <c r="AF137">
        <v>19.37</v>
      </c>
      <c r="AG137">
        <v>21.13</v>
      </c>
      <c r="AH137">
        <v>20.611000000000001</v>
      </c>
      <c r="AI137">
        <v>18.771999999999998</v>
      </c>
      <c r="AJ137">
        <v>19.047000000000001</v>
      </c>
      <c r="AK137">
        <v>20.388000000000002</v>
      </c>
      <c r="AL137">
        <v>21.848994000000001</v>
      </c>
      <c r="AM137">
        <v>19.046489999999999</v>
      </c>
      <c r="AN137">
        <v>19.188706655768001</v>
      </c>
      <c r="AO137">
        <v>19.281028610818002</v>
      </c>
      <c r="AP137">
        <v>22.99371</v>
      </c>
      <c r="AQ137">
        <v>22.2592</v>
      </c>
      <c r="AR137">
        <v>645.99800000000005</v>
      </c>
      <c r="AS137">
        <v>660.11099999999999</v>
      </c>
      <c r="AT137">
        <v>828.25699999999995</v>
      </c>
      <c r="AU137">
        <v>1094.8309999999999</v>
      </c>
      <c r="AV137">
        <v>1102.116</v>
      </c>
      <c r="AW137">
        <v>1539.8040000000001</v>
      </c>
      <c r="AX137">
        <v>1456.114</v>
      </c>
      <c r="AY137">
        <v>533.14099999999996</v>
      </c>
      <c r="AZ137">
        <v>472.62700000000001</v>
      </c>
      <c r="BA137">
        <v>311.24299999999999</v>
      </c>
      <c r="BB137">
        <v>1600.6020000000001</v>
      </c>
      <c r="BC137">
        <v>1055.3689999999999</v>
      </c>
      <c r="BD137">
        <v>619.66599999999903</v>
      </c>
      <c r="BE137">
        <v>1370.701</v>
      </c>
      <c r="BF137">
        <v>1313.8959139999999</v>
      </c>
      <c r="BG137">
        <v>1340.7899</v>
      </c>
      <c r="BH137">
        <v>1012.3561061844</v>
      </c>
      <c r="BI137">
        <v>1025.02809331459</v>
      </c>
      <c r="BJ137">
        <v>1294.8849</v>
      </c>
      <c r="BK137">
        <v>1263.132638</v>
      </c>
      <c r="BL137" cm="1">
        <f t="array" ref="BL137">INDEX(R137:W137,0,MATCH($A137,$R$1:$W$1,0))</f>
        <v>0.59623066666666602</v>
      </c>
      <c r="BM137" cm="1">
        <f t="array" ref="BM137">INDEX(AL137:AQ137,0,MATCH($A137,$R$1:$W$1,0))</f>
        <v>22.2592</v>
      </c>
      <c r="BN137" cm="1">
        <f t="array" ref="BN137">INDEX(BF137:BK137,0,MATCH($A137,$R$1:$W$1,0))</f>
        <v>1263.132638</v>
      </c>
    </row>
    <row r="138" spans="1:66" x14ac:dyDescent="0.35">
      <c r="A138" t="s">
        <v>63</v>
      </c>
      <c r="B138">
        <v>1501498</v>
      </c>
      <c r="C138">
        <v>2022</v>
      </c>
      <c r="D138">
        <v>0.52366666666666595</v>
      </c>
      <c r="E138">
        <v>0.56099999999999905</v>
      </c>
      <c r="F138">
        <v>0.60899999999999999</v>
      </c>
      <c r="G138">
        <v>0.56833333333333302</v>
      </c>
      <c r="H138">
        <v>0.55633333333333301</v>
      </c>
      <c r="I138">
        <v>0.579666666666666</v>
      </c>
      <c r="J138">
        <v>0.69233333333333302</v>
      </c>
      <c r="K138">
        <v>0.49866666666666598</v>
      </c>
      <c r="L138">
        <v>0.64466666666666606</v>
      </c>
      <c r="M138">
        <v>0.54466666666666597</v>
      </c>
      <c r="N138">
        <v>0.64500000000000002</v>
      </c>
      <c r="O138">
        <v>0.60633333333333295</v>
      </c>
      <c r="P138">
        <v>0.57166666666666599</v>
      </c>
      <c r="Q138">
        <v>0.60333333333333306</v>
      </c>
      <c r="R138">
        <v>0.69340800000000002</v>
      </c>
      <c r="S138">
        <v>0.65603999999999996</v>
      </c>
      <c r="T138">
        <v>0.58587111078933296</v>
      </c>
      <c r="U138">
        <v>0.59216333450533298</v>
      </c>
      <c r="V138">
        <v>0.70752333333333295</v>
      </c>
      <c r="W138">
        <v>0.68464800000000003</v>
      </c>
      <c r="X138">
        <v>19.395</v>
      </c>
      <c r="Y138">
        <v>22.516999999999999</v>
      </c>
      <c r="Z138">
        <v>22.433</v>
      </c>
      <c r="AA138">
        <v>22.800999999999998</v>
      </c>
      <c r="AB138">
        <v>22.925000000000001</v>
      </c>
      <c r="AC138">
        <v>21.183</v>
      </c>
      <c r="AD138">
        <v>21.106000000000002</v>
      </c>
      <c r="AE138">
        <v>22.486999999999998</v>
      </c>
      <c r="AF138">
        <v>23.846</v>
      </c>
      <c r="AG138">
        <v>22.196999999999999</v>
      </c>
      <c r="AH138">
        <v>23.626000000000001</v>
      </c>
      <c r="AI138">
        <v>22.88</v>
      </c>
      <c r="AJ138">
        <v>22.026</v>
      </c>
      <c r="AK138">
        <v>22.692</v>
      </c>
      <c r="AL138">
        <v>25.285208000000001</v>
      </c>
      <c r="AM138">
        <v>21.682259999999999</v>
      </c>
      <c r="AN138">
        <v>22.485608876743001</v>
      </c>
      <c r="AO138">
        <v>22.344540044416</v>
      </c>
      <c r="AP138">
        <v>25.681505000000001</v>
      </c>
      <c r="AQ138">
        <v>25.732825999999999</v>
      </c>
      <c r="AR138">
        <v>680.58100000000002</v>
      </c>
      <c r="AS138">
        <v>687.28099999999995</v>
      </c>
      <c r="AT138">
        <v>800.04300000000001</v>
      </c>
      <c r="AU138">
        <v>873.28200000000004</v>
      </c>
      <c r="AV138">
        <v>1045.19</v>
      </c>
      <c r="AW138">
        <v>1598.184</v>
      </c>
      <c r="AX138">
        <v>902.39800000000002</v>
      </c>
      <c r="AY138">
        <v>663.36699999999996</v>
      </c>
      <c r="AZ138">
        <v>579.67200000000003</v>
      </c>
      <c r="BA138">
        <v>693.30700000000002</v>
      </c>
      <c r="BB138">
        <v>1329.548</v>
      </c>
      <c r="BC138">
        <v>913.13199999999995</v>
      </c>
      <c r="BD138">
        <v>551.428</v>
      </c>
      <c r="BE138">
        <v>1454.76</v>
      </c>
      <c r="BF138">
        <v>1110.7420440000001</v>
      </c>
      <c r="BG138">
        <v>951.07227999999998</v>
      </c>
      <c r="BH138">
        <v>876.39164166594401</v>
      </c>
      <c r="BI138">
        <v>872.26901343523798</v>
      </c>
      <c r="BJ138">
        <v>1171.1276</v>
      </c>
      <c r="BK138">
        <v>1082.968028</v>
      </c>
      <c r="BL138" cm="1">
        <f t="array" ref="BL138">INDEX(R138:W138,0,MATCH($A138,$R$1:$W$1,0))</f>
        <v>0.59216333450533298</v>
      </c>
      <c r="BM138" cm="1">
        <f t="array" ref="BM138">INDEX(AL138:AQ138,0,MATCH($A138,$R$1:$W$1,0))</f>
        <v>22.344540044416</v>
      </c>
      <c r="BN138" cm="1">
        <f t="array" ref="BN138">INDEX(BF138:BK138,0,MATCH($A138,$R$1:$W$1,0))</f>
        <v>872.26901343523798</v>
      </c>
    </row>
    <row r="139" spans="1:66" x14ac:dyDescent="0.35">
      <c r="A139" t="s">
        <v>64</v>
      </c>
      <c r="B139">
        <v>787750</v>
      </c>
      <c r="C139">
        <v>2022</v>
      </c>
      <c r="D139">
        <v>0.52366666666666595</v>
      </c>
      <c r="E139">
        <v>0.56099999999999905</v>
      </c>
      <c r="F139">
        <v>0.60899999999999999</v>
      </c>
      <c r="G139">
        <v>0.56833333333333302</v>
      </c>
      <c r="H139">
        <v>0.55633333333333301</v>
      </c>
      <c r="I139">
        <v>0.579666666666666</v>
      </c>
      <c r="J139">
        <v>0.69233333333333302</v>
      </c>
      <c r="K139">
        <v>0.49866666666666598</v>
      </c>
      <c r="L139">
        <v>0.64466666666666606</v>
      </c>
      <c r="M139">
        <v>0.54466666666666597</v>
      </c>
      <c r="N139">
        <v>0.64500000000000002</v>
      </c>
      <c r="O139">
        <v>0.60633333333333295</v>
      </c>
      <c r="P139">
        <v>0.57166666666666599</v>
      </c>
      <c r="Q139">
        <v>0.60333333333333306</v>
      </c>
      <c r="R139">
        <v>0.69340800000000002</v>
      </c>
      <c r="S139">
        <v>0.65603999999999996</v>
      </c>
      <c r="T139">
        <v>0.58587111078933296</v>
      </c>
      <c r="U139">
        <v>0.59216333450533298</v>
      </c>
      <c r="V139">
        <v>0.70752333333333295</v>
      </c>
      <c r="W139">
        <v>0.68464800000000003</v>
      </c>
      <c r="X139">
        <v>19.395</v>
      </c>
      <c r="Y139">
        <v>22.516999999999999</v>
      </c>
      <c r="Z139">
        <v>22.433</v>
      </c>
      <c r="AA139">
        <v>22.800999999999998</v>
      </c>
      <c r="AB139">
        <v>22.925000000000001</v>
      </c>
      <c r="AC139">
        <v>21.183</v>
      </c>
      <c r="AD139">
        <v>21.106000000000002</v>
      </c>
      <c r="AE139">
        <v>22.486999999999998</v>
      </c>
      <c r="AF139">
        <v>23.846</v>
      </c>
      <c r="AG139">
        <v>22.196999999999999</v>
      </c>
      <c r="AH139">
        <v>23.626000000000001</v>
      </c>
      <c r="AI139">
        <v>22.88</v>
      </c>
      <c r="AJ139">
        <v>22.026</v>
      </c>
      <c r="AK139">
        <v>22.692</v>
      </c>
      <c r="AL139">
        <v>25.285208000000001</v>
      </c>
      <c r="AM139">
        <v>21.682259999999999</v>
      </c>
      <c r="AN139">
        <v>22.485608876743001</v>
      </c>
      <c r="AO139">
        <v>22.344540044416</v>
      </c>
      <c r="AP139">
        <v>25.681505000000001</v>
      </c>
      <c r="AQ139">
        <v>25.732825999999999</v>
      </c>
      <c r="AR139">
        <v>680.58100000000002</v>
      </c>
      <c r="AS139">
        <v>687.28099999999995</v>
      </c>
      <c r="AT139">
        <v>800.04300000000001</v>
      </c>
      <c r="AU139">
        <v>873.28200000000004</v>
      </c>
      <c r="AV139">
        <v>1045.19</v>
      </c>
      <c r="AW139">
        <v>1598.184</v>
      </c>
      <c r="AX139">
        <v>902.39800000000002</v>
      </c>
      <c r="AY139">
        <v>663.36699999999996</v>
      </c>
      <c r="AZ139">
        <v>579.67200000000003</v>
      </c>
      <c r="BA139">
        <v>693.30700000000002</v>
      </c>
      <c r="BB139">
        <v>1329.548</v>
      </c>
      <c r="BC139">
        <v>913.13199999999995</v>
      </c>
      <c r="BD139">
        <v>551.428</v>
      </c>
      <c r="BE139">
        <v>1454.76</v>
      </c>
      <c r="BF139">
        <v>1110.7420440000001</v>
      </c>
      <c r="BG139">
        <v>951.07227999999998</v>
      </c>
      <c r="BH139">
        <v>876.39164166594401</v>
      </c>
      <c r="BI139">
        <v>872.26901343523798</v>
      </c>
      <c r="BJ139">
        <v>1171.1276</v>
      </c>
      <c r="BK139">
        <v>1082.968028</v>
      </c>
      <c r="BL139" cm="1">
        <f t="array" ref="BL139">INDEX(R139:W139,0,MATCH($A139,$R$1:$W$1,0))</f>
        <v>0.69340800000000002</v>
      </c>
      <c r="BM139" cm="1">
        <f t="array" ref="BM139">INDEX(AL139:AQ139,0,MATCH($A139,$R$1:$W$1,0))</f>
        <v>25.285208000000001</v>
      </c>
      <c r="BN139" cm="1">
        <f t="array" ref="BN139">INDEX(BF139:BK139,0,MATCH($A139,$R$1:$W$1,0))</f>
        <v>1110.7420440000001</v>
      </c>
    </row>
    <row r="140" spans="1:66" x14ac:dyDescent="0.35">
      <c r="A140" t="s">
        <v>65</v>
      </c>
      <c r="B140">
        <v>1097033</v>
      </c>
      <c r="C140">
        <v>2022</v>
      </c>
      <c r="D140">
        <v>0.52366666666666595</v>
      </c>
      <c r="E140">
        <v>0.56099999999999905</v>
      </c>
      <c r="F140">
        <v>0.60899999999999999</v>
      </c>
      <c r="G140">
        <v>0.56833333333333302</v>
      </c>
      <c r="H140">
        <v>0.55633333333333301</v>
      </c>
      <c r="I140">
        <v>0.579666666666666</v>
      </c>
      <c r="J140">
        <v>0.69233333333333302</v>
      </c>
      <c r="K140">
        <v>0.49866666666666598</v>
      </c>
      <c r="L140">
        <v>0.64466666666666606</v>
      </c>
      <c r="M140">
        <v>0.54466666666666597</v>
      </c>
      <c r="N140">
        <v>0.64500000000000002</v>
      </c>
      <c r="O140">
        <v>0.60633333333333295</v>
      </c>
      <c r="P140">
        <v>0.57166666666666599</v>
      </c>
      <c r="Q140">
        <v>0.60333333333333306</v>
      </c>
      <c r="R140">
        <v>0.69340800000000002</v>
      </c>
      <c r="S140">
        <v>0.65603999999999996</v>
      </c>
      <c r="T140">
        <v>0.58587111078933296</v>
      </c>
      <c r="U140">
        <v>0.59216333450533298</v>
      </c>
      <c r="V140">
        <v>0.70752333333333295</v>
      </c>
      <c r="W140">
        <v>0.68464800000000003</v>
      </c>
      <c r="X140">
        <v>19.395</v>
      </c>
      <c r="Y140">
        <v>22.516999999999999</v>
      </c>
      <c r="Z140">
        <v>22.433</v>
      </c>
      <c r="AA140">
        <v>22.800999999999998</v>
      </c>
      <c r="AB140">
        <v>22.925000000000001</v>
      </c>
      <c r="AC140">
        <v>21.183</v>
      </c>
      <c r="AD140">
        <v>21.106000000000002</v>
      </c>
      <c r="AE140">
        <v>22.486999999999998</v>
      </c>
      <c r="AF140">
        <v>23.846</v>
      </c>
      <c r="AG140">
        <v>22.196999999999999</v>
      </c>
      <c r="AH140">
        <v>23.626000000000001</v>
      </c>
      <c r="AI140">
        <v>22.88</v>
      </c>
      <c r="AJ140">
        <v>22.026</v>
      </c>
      <c r="AK140">
        <v>22.692</v>
      </c>
      <c r="AL140">
        <v>25.285208000000001</v>
      </c>
      <c r="AM140">
        <v>21.682259999999999</v>
      </c>
      <c r="AN140">
        <v>22.485608876743001</v>
      </c>
      <c r="AO140">
        <v>22.344540044416</v>
      </c>
      <c r="AP140">
        <v>25.681505000000001</v>
      </c>
      <c r="AQ140">
        <v>25.732825999999999</v>
      </c>
      <c r="AR140">
        <v>680.58100000000002</v>
      </c>
      <c r="AS140">
        <v>687.28099999999995</v>
      </c>
      <c r="AT140">
        <v>800.04300000000001</v>
      </c>
      <c r="AU140">
        <v>873.28200000000004</v>
      </c>
      <c r="AV140">
        <v>1045.19</v>
      </c>
      <c r="AW140">
        <v>1598.184</v>
      </c>
      <c r="AX140">
        <v>902.39800000000002</v>
      </c>
      <c r="AY140">
        <v>663.36699999999996</v>
      </c>
      <c r="AZ140">
        <v>579.67200000000003</v>
      </c>
      <c r="BA140">
        <v>693.30700000000002</v>
      </c>
      <c r="BB140">
        <v>1329.548</v>
      </c>
      <c r="BC140">
        <v>913.13199999999995</v>
      </c>
      <c r="BD140">
        <v>551.428</v>
      </c>
      <c r="BE140">
        <v>1454.76</v>
      </c>
      <c r="BF140">
        <v>1110.7420440000001</v>
      </c>
      <c r="BG140">
        <v>951.07227999999998</v>
      </c>
      <c r="BH140">
        <v>876.39164166594401</v>
      </c>
      <c r="BI140">
        <v>872.26901343523798</v>
      </c>
      <c r="BJ140">
        <v>1171.1276</v>
      </c>
      <c r="BK140">
        <v>1082.968028</v>
      </c>
      <c r="BL140" cm="1">
        <f t="array" ref="BL140">INDEX(R140:W140,0,MATCH($A140,$R$1:$W$1,0))</f>
        <v>0.58587111078933296</v>
      </c>
      <c r="BM140" cm="1">
        <f t="array" ref="BM140">INDEX(AL140:AQ140,0,MATCH($A140,$R$1:$W$1,0))</f>
        <v>22.485608876743001</v>
      </c>
      <c r="BN140" cm="1">
        <f t="array" ref="BN140">INDEX(BF140:BK140,0,MATCH($A140,$R$1:$W$1,0))</f>
        <v>876.39164166594401</v>
      </c>
    </row>
    <row r="141" spans="1:66" x14ac:dyDescent="0.35">
      <c r="A141" t="s">
        <v>66</v>
      </c>
      <c r="B141">
        <v>1409120</v>
      </c>
      <c r="C141">
        <v>2022</v>
      </c>
      <c r="D141">
        <v>0.52366666666666595</v>
      </c>
      <c r="E141">
        <v>0.56099999999999905</v>
      </c>
      <c r="F141">
        <v>0.60899999999999999</v>
      </c>
      <c r="G141">
        <v>0.56833333333333302</v>
      </c>
      <c r="H141">
        <v>0.55633333333333301</v>
      </c>
      <c r="I141">
        <v>0.579666666666666</v>
      </c>
      <c r="J141">
        <v>0.69233333333333302</v>
      </c>
      <c r="K141">
        <v>0.49866666666666598</v>
      </c>
      <c r="L141">
        <v>0.64466666666666606</v>
      </c>
      <c r="M141">
        <v>0.54466666666666597</v>
      </c>
      <c r="N141">
        <v>0.64500000000000002</v>
      </c>
      <c r="O141">
        <v>0.60633333333333295</v>
      </c>
      <c r="P141">
        <v>0.57166666666666599</v>
      </c>
      <c r="Q141">
        <v>0.60333333333333306</v>
      </c>
      <c r="R141">
        <v>0.69340800000000002</v>
      </c>
      <c r="S141">
        <v>0.65603999999999996</v>
      </c>
      <c r="T141">
        <v>0.58587111078933296</v>
      </c>
      <c r="U141">
        <v>0.59216333450533298</v>
      </c>
      <c r="V141">
        <v>0.70752333333333295</v>
      </c>
      <c r="W141">
        <v>0.68464800000000003</v>
      </c>
      <c r="X141">
        <v>19.395</v>
      </c>
      <c r="Y141">
        <v>22.516999999999999</v>
      </c>
      <c r="Z141">
        <v>22.433</v>
      </c>
      <c r="AA141">
        <v>22.800999999999998</v>
      </c>
      <c r="AB141">
        <v>22.925000000000001</v>
      </c>
      <c r="AC141">
        <v>21.183</v>
      </c>
      <c r="AD141">
        <v>21.106000000000002</v>
      </c>
      <c r="AE141">
        <v>22.486999999999998</v>
      </c>
      <c r="AF141">
        <v>23.846</v>
      </c>
      <c r="AG141">
        <v>22.196999999999999</v>
      </c>
      <c r="AH141">
        <v>23.626000000000001</v>
      </c>
      <c r="AI141">
        <v>22.88</v>
      </c>
      <c r="AJ141">
        <v>22.026</v>
      </c>
      <c r="AK141">
        <v>22.692</v>
      </c>
      <c r="AL141">
        <v>25.285208000000001</v>
      </c>
      <c r="AM141">
        <v>21.682259999999999</v>
      </c>
      <c r="AN141">
        <v>22.485608876743001</v>
      </c>
      <c r="AO141">
        <v>22.344540044416</v>
      </c>
      <c r="AP141">
        <v>25.681505000000001</v>
      </c>
      <c r="AQ141">
        <v>25.732825999999999</v>
      </c>
      <c r="AR141">
        <v>680.58100000000002</v>
      </c>
      <c r="AS141">
        <v>687.28099999999995</v>
      </c>
      <c r="AT141">
        <v>800.04300000000001</v>
      </c>
      <c r="AU141">
        <v>873.28200000000004</v>
      </c>
      <c r="AV141">
        <v>1045.19</v>
      </c>
      <c r="AW141">
        <v>1598.184</v>
      </c>
      <c r="AX141">
        <v>902.39800000000002</v>
      </c>
      <c r="AY141">
        <v>663.36699999999996</v>
      </c>
      <c r="AZ141">
        <v>579.67200000000003</v>
      </c>
      <c r="BA141">
        <v>693.30700000000002</v>
      </c>
      <c r="BB141">
        <v>1329.548</v>
      </c>
      <c r="BC141">
        <v>913.13199999999995</v>
      </c>
      <c r="BD141">
        <v>551.428</v>
      </c>
      <c r="BE141">
        <v>1454.76</v>
      </c>
      <c r="BF141">
        <v>1110.7420440000001</v>
      </c>
      <c r="BG141">
        <v>951.07227999999998</v>
      </c>
      <c r="BH141">
        <v>876.39164166594401</v>
      </c>
      <c r="BI141">
        <v>872.26901343523798</v>
      </c>
      <c r="BJ141">
        <v>1171.1276</v>
      </c>
      <c r="BK141">
        <v>1082.968028</v>
      </c>
      <c r="BL141" cm="1">
        <f t="array" ref="BL141">INDEX(R141:W141,0,MATCH($A141,$R$1:$W$1,0))</f>
        <v>0.70752333333333295</v>
      </c>
      <c r="BM141" cm="1">
        <f t="array" ref="BM141">INDEX(AL141:AQ141,0,MATCH($A141,$R$1:$W$1,0))</f>
        <v>25.681505000000001</v>
      </c>
      <c r="BN141" cm="1">
        <f t="array" ref="BN141">INDEX(BF141:BK141,0,MATCH($A141,$R$1:$W$1,0))</f>
        <v>1171.1276</v>
      </c>
    </row>
    <row r="142" spans="1:66" x14ac:dyDescent="0.35">
      <c r="A142" t="s">
        <v>67</v>
      </c>
      <c r="B142">
        <v>363164</v>
      </c>
      <c r="C142">
        <v>2022</v>
      </c>
      <c r="D142">
        <v>0.52366666666666595</v>
      </c>
      <c r="E142">
        <v>0.56099999999999905</v>
      </c>
      <c r="F142">
        <v>0.60899999999999999</v>
      </c>
      <c r="G142">
        <v>0.56833333333333302</v>
      </c>
      <c r="H142">
        <v>0.55633333333333301</v>
      </c>
      <c r="I142">
        <v>0.579666666666666</v>
      </c>
      <c r="J142">
        <v>0.69233333333333302</v>
      </c>
      <c r="K142">
        <v>0.49866666666666598</v>
      </c>
      <c r="L142">
        <v>0.64466666666666606</v>
      </c>
      <c r="M142">
        <v>0.54466666666666597</v>
      </c>
      <c r="N142">
        <v>0.64500000000000002</v>
      </c>
      <c r="O142">
        <v>0.60633333333333295</v>
      </c>
      <c r="P142">
        <v>0.57166666666666599</v>
      </c>
      <c r="Q142">
        <v>0.60333333333333306</v>
      </c>
      <c r="R142">
        <v>0.69340800000000002</v>
      </c>
      <c r="S142">
        <v>0.65603999999999996</v>
      </c>
      <c r="T142">
        <v>0.58587111078933296</v>
      </c>
      <c r="U142">
        <v>0.59216333450533298</v>
      </c>
      <c r="V142">
        <v>0.70752333333333295</v>
      </c>
      <c r="W142">
        <v>0.68464800000000003</v>
      </c>
      <c r="X142">
        <v>19.395</v>
      </c>
      <c r="Y142">
        <v>22.516999999999999</v>
      </c>
      <c r="Z142">
        <v>22.433</v>
      </c>
      <c r="AA142">
        <v>22.800999999999998</v>
      </c>
      <c r="AB142">
        <v>22.925000000000001</v>
      </c>
      <c r="AC142">
        <v>21.183</v>
      </c>
      <c r="AD142">
        <v>21.106000000000002</v>
      </c>
      <c r="AE142">
        <v>22.486999999999998</v>
      </c>
      <c r="AF142">
        <v>23.846</v>
      </c>
      <c r="AG142">
        <v>22.196999999999999</v>
      </c>
      <c r="AH142">
        <v>23.626000000000001</v>
      </c>
      <c r="AI142">
        <v>22.88</v>
      </c>
      <c r="AJ142">
        <v>22.026</v>
      </c>
      <c r="AK142">
        <v>22.692</v>
      </c>
      <c r="AL142">
        <v>25.285208000000001</v>
      </c>
      <c r="AM142">
        <v>21.682259999999999</v>
      </c>
      <c r="AN142">
        <v>22.485608876743001</v>
      </c>
      <c r="AO142">
        <v>22.344540044416</v>
      </c>
      <c r="AP142">
        <v>25.681505000000001</v>
      </c>
      <c r="AQ142">
        <v>25.732825999999999</v>
      </c>
      <c r="AR142">
        <v>680.58100000000002</v>
      </c>
      <c r="AS142">
        <v>687.28099999999995</v>
      </c>
      <c r="AT142">
        <v>800.04300000000001</v>
      </c>
      <c r="AU142">
        <v>873.28200000000004</v>
      </c>
      <c r="AV142">
        <v>1045.19</v>
      </c>
      <c r="AW142">
        <v>1598.184</v>
      </c>
      <c r="AX142">
        <v>902.39800000000002</v>
      </c>
      <c r="AY142">
        <v>663.36699999999996</v>
      </c>
      <c r="AZ142">
        <v>579.67200000000003</v>
      </c>
      <c r="BA142">
        <v>693.30700000000002</v>
      </c>
      <c r="BB142">
        <v>1329.548</v>
      </c>
      <c r="BC142">
        <v>913.13199999999995</v>
      </c>
      <c r="BD142">
        <v>551.428</v>
      </c>
      <c r="BE142">
        <v>1454.76</v>
      </c>
      <c r="BF142">
        <v>1110.7420440000001</v>
      </c>
      <c r="BG142">
        <v>951.07227999999998</v>
      </c>
      <c r="BH142">
        <v>876.39164166594401</v>
      </c>
      <c r="BI142">
        <v>872.26901343523798</v>
      </c>
      <c r="BJ142">
        <v>1171.1276</v>
      </c>
      <c r="BK142">
        <v>1082.968028</v>
      </c>
      <c r="BL142" cm="1">
        <f t="array" ref="BL142">INDEX(R142:W142,0,MATCH($A142,$R$1:$W$1,0))</f>
        <v>0.68464800000000003</v>
      </c>
      <c r="BM142" cm="1">
        <f t="array" ref="BM142">INDEX(AL142:AQ142,0,MATCH($A142,$R$1:$W$1,0))</f>
        <v>25.732825999999999</v>
      </c>
      <c r="BN142" cm="1">
        <f t="array" ref="BN142">INDEX(BF142:BK142,0,MATCH($A142,$R$1:$W$1,0))</f>
        <v>1082.968028</v>
      </c>
    </row>
    <row r="143" spans="1:66" x14ac:dyDescent="0.35">
      <c r="A143" t="s">
        <v>63</v>
      </c>
      <c r="B143">
        <v>1728000</v>
      </c>
      <c r="C143">
        <v>2023</v>
      </c>
      <c r="D143">
        <v>0.44400000000000001</v>
      </c>
      <c r="E143">
        <v>0.43633333333333302</v>
      </c>
      <c r="F143">
        <v>0.50833333333333297</v>
      </c>
      <c r="G143">
        <v>0.41099999999999998</v>
      </c>
      <c r="H143">
        <v>0.43666666666666598</v>
      </c>
      <c r="I143">
        <v>0.53166666666666595</v>
      </c>
      <c r="J143">
        <v>0.54666666666666597</v>
      </c>
      <c r="K143">
        <v>0.35799999999999998</v>
      </c>
      <c r="L143">
        <v>0.42699999999999999</v>
      </c>
      <c r="M143">
        <v>0.395666666666666</v>
      </c>
      <c r="N143">
        <v>0.51733333333333298</v>
      </c>
      <c r="O143">
        <v>0.50566666666666604</v>
      </c>
      <c r="P143">
        <v>0.48833333333333301</v>
      </c>
      <c r="Q143">
        <v>0.52366666666666595</v>
      </c>
      <c r="R143">
        <v>0.55477799999999999</v>
      </c>
      <c r="S143">
        <v>0.52734000000000003</v>
      </c>
      <c r="T143">
        <v>0.461446666408666</v>
      </c>
      <c r="U143">
        <v>0.46463142950733299</v>
      </c>
      <c r="V143">
        <v>0.56144166666666595</v>
      </c>
      <c r="W143">
        <v>0.53817799999999905</v>
      </c>
      <c r="X143">
        <v>18.358000000000001</v>
      </c>
      <c r="Y143">
        <v>20.678000000000001</v>
      </c>
      <c r="Z143">
        <v>20.196999999999999</v>
      </c>
      <c r="AA143">
        <v>21.378</v>
      </c>
      <c r="AB143">
        <v>20.579000000000001</v>
      </c>
      <c r="AC143">
        <v>19.568999999999999</v>
      </c>
      <c r="AD143">
        <v>20.509</v>
      </c>
      <c r="AE143">
        <v>20.228999999999999</v>
      </c>
      <c r="AF143">
        <v>22.358000000000001</v>
      </c>
      <c r="AG143">
        <v>20.870999999999999</v>
      </c>
      <c r="AH143">
        <v>22.87</v>
      </c>
      <c r="AI143">
        <v>21.187000000000001</v>
      </c>
      <c r="AJ143">
        <v>20.757000000000001</v>
      </c>
      <c r="AK143">
        <v>22.225999999999999</v>
      </c>
      <c r="AL143">
        <v>23.757078</v>
      </c>
      <c r="AM143">
        <v>20.689859999999999</v>
      </c>
      <c r="AN143">
        <v>20.820918877402001</v>
      </c>
      <c r="AO143">
        <v>20.765450041979999</v>
      </c>
      <c r="AP143">
        <v>24.534960000000002</v>
      </c>
      <c r="AQ143">
        <v>24.141957999999999</v>
      </c>
      <c r="AR143">
        <v>547.85699999999997</v>
      </c>
      <c r="AS143">
        <v>590.221</v>
      </c>
      <c r="AT143">
        <v>648.03599999999994</v>
      </c>
      <c r="AU143">
        <v>645.76599999999996</v>
      </c>
      <c r="AV143">
        <v>682.4</v>
      </c>
      <c r="AW143">
        <v>1185.3149999999901</v>
      </c>
      <c r="AX143">
        <v>745.60599999999999</v>
      </c>
      <c r="AY143">
        <v>531.10199999999998</v>
      </c>
      <c r="AZ143">
        <v>485.173</v>
      </c>
      <c r="BA143">
        <v>454.44900000000001</v>
      </c>
      <c r="BB143">
        <v>976.92499999999995</v>
      </c>
      <c r="BC143">
        <v>688.78599999999994</v>
      </c>
      <c r="BD143">
        <v>575.76300000000003</v>
      </c>
      <c r="BE143">
        <v>1087.6500000000001</v>
      </c>
      <c r="BF143">
        <v>842.93494199999998</v>
      </c>
      <c r="BG143">
        <v>754.47266999999897</v>
      </c>
      <c r="BH143">
        <v>671.59618069328405</v>
      </c>
      <c r="BI143">
        <v>670.15208295074001</v>
      </c>
      <c r="BJ143">
        <v>884.05812500000002</v>
      </c>
      <c r="BK143">
        <v>818.698306</v>
      </c>
      <c r="BL143" cm="1">
        <f t="array" ref="BL143">INDEX(R143:W143,0,MATCH($A143,$R$1:$W$1,0))</f>
        <v>0.46463142950733299</v>
      </c>
      <c r="BM143" cm="1">
        <f t="array" ref="BM143">INDEX(AL143:AQ143,0,MATCH($A143,$R$1:$W$1,0))</f>
        <v>20.765450041979999</v>
      </c>
      <c r="BN143" cm="1">
        <f t="array" ref="BN143">INDEX(BF143:BK143,0,MATCH($A143,$R$1:$W$1,0))</f>
        <v>670.15208295074001</v>
      </c>
    </row>
    <row r="144" spans="1:66" x14ac:dyDescent="0.35">
      <c r="A144" t="s">
        <v>64</v>
      </c>
      <c r="B144">
        <v>929000</v>
      </c>
      <c r="C144">
        <v>2023</v>
      </c>
      <c r="D144">
        <v>0.44400000000000001</v>
      </c>
      <c r="E144">
        <v>0.43633333333333302</v>
      </c>
      <c r="F144">
        <v>0.50833333333333297</v>
      </c>
      <c r="G144">
        <v>0.41099999999999998</v>
      </c>
      <c r="H144">
        <v>0.43666666666666598</v>
      </c>
      <c r="I144">
        <v>0.53166666666666595</v>
      </c>
      <c r="J144">
        <v>0.54666666666666597</v>
      </c>
      <c r="K144">
        <v>0.35799999999999998</v>
      </c>
      <c r="L144">
        <v>0.42699999999999999</v>
      </c>
      <c r="M144">
        <v>0.395666666666666</v>
      </c>
      <c r="N144">
        <v>0.51733333333333298</v>
      </c>
      <c r="O144">
        <v>0.50566666666666604</v>
      </c>
      <c r="P144">
        <v>0.48833333333333301</v>
      </c>
      <c r="Q144">
        <v>0.52366666666666595</v>
      </c>
      <c r="R144">
        <v>0.55477799999999999</v>
      </c>
      <c r="S144">
        <v>0.52734000000000003</v>
      </c>
      <c r="T144">
        <v>0.461446666408666</v>
      </c>
      <c r="U144">
        <v>0.46463142950733299</v>
      </c>
      <c r="V144">
        <v>0.56144166666666595</v>
      </c>
      <c r="W144">
        <v>0.53817799999999905</v>
      </c>
      <c r="X144">
        <v>18.358000000000001</v>
      </c>
      <c r="Y144">
        <v>20.678000000000001</v>
      </c>
      <c r="Z144">
        <v>20.196999999999999</v>
      </c>
      <c r="AA144">
        <v>21.378</v>
      </c>
      <c r="AB144">
        <v>20.579000000000001</v>
      </c>
      <c r="AC144">
        <v>19.568999999999999</v>
      </c>
      <c r="AD144">
        <v>20.509</v>
      </c>
      <c r="AE144">
        <v>20.228999999999999</v>
      </c>
      <c r="AF144">
        <v>22.358000000000001</v>
      </c>
      <c r="AG144">
        <v>20.870999999999999</v>
      </c>
      <c r="AH144">
        <v>22.87</v>
      </c>
      <c r="AI144">
        <v>21.187000000000001</v>
      </c>
      <c r="AJ144">
        <v>20.757000000000001</v>
      </c>
      <c r="AK144">
        <v>22.225999999999999</v>
      </c>
      <c r="AL144">
        <v>23.757078</v>
      </c>
      <c r="AM144">
        <v>20.689859999999999</v>
      </c>
      <c r="AN144">
        <v>20.820918877402001</v>
      </c>
      <c r="AO144">
        <v>20.765450041979999</v>
      </c>
      <c r="AP144">
        <v>24.534960000000002</v>
      </c>
      <c r="AQ144">
        <v>24.141957999999999</v>
      </c>
      <c r="AR144">
        <v>547.85699999999997</v>
      </c>
      <c r="AS144">
        <v>590.221</v>
      </c>
      <c r="AT144">
        <v>648.03599999999994</v>
      </c>
      <c r="AU144">
        <v>645.76599999999996</v>
      </c>
      <c r="AV144">
        <v>682.4</v>
      </c>
      <c r="AW144">
        <v>1185.3149999999901</v>
      </c>
      <c r="AX144">
        <v>745.60599999999999</v>
      </c>
      <c r="AY144">
        <v>531.10199999999998</v>
      </c>
      <c r="AZ144">
        <v>485.173</v>
      </c>
      <c r="BA144">
        <v>454.44900000000001</v>
      </c>
      <c r="BB144">
        <v>976.92499999999995</v>
      </c>
      <c r="BC144">
        <v>688.78599999999994</v>
      </c>
      <c r="BD144">
        <v>575.76300000000003</v>
      </c>
      <c r="BE144">
        <v>1087.6500000000001</v>
      </c>
      <c r="BF144">
        <v>842.93494199999998</v>
      </c>
      <c r="BG144">
        <v>754.47266999999897</v>
      </c>
      <c r="BH144">
        <v>671.59618069328405</v>
      </c>
      <c r="BI144">
        <v>670.15208295074001</v>
      </c>
      <c r="BJ144">
        <v>884.05812500000002</v>
      </c>
      <c r="BK144">
        <v>818.698306</v>
      </c>
      <c r="BL144" cm="1">
        <f t="array" ref="BL144">INDEX(R144:W144,0,MATCH($A144,$R$1:$W$1,0))</f>
        <v>0.55477799999999999</v>
      </c>
      <c r="BM144" cm="1">
        <f t="array" ref="BM144">INDEX(AL144:AQ144,0,MATCH($A144,$R$1:$W$1,0))</f>
        <v>23.757078</v>
      </c>
      <c r="BN144" cm="1">
        <f t="array" ref="BN144">INDEX(BF144:BK144,0,MATCH($A144,$R$1:$W$1,0))</f>
        <v>842.93494199999998</v>
      </c>
    </row>
    <row r="145" spans="1:66" x14ac:dyDescent="0.35">
      <c r="A145" t="s">
        <v>65</v>
      </c>
      <c r="B145">
        <v>1353000</v>
      </c>
      <c r="C145">
        <v>2023</v>
      </c>
      <c r="D145">
        <v>0.44400000000000001</v>
      </c>
      <c r="E145">
        <v>0.43633333333333302</v>
      </c>
      <c r="F145">
        <v>0.50833333333333297</v>
      </c>
      <c r="G145">
        <v>0.41099999999999998</v>
      </c>
      <c r="H145">
        <v>0.43666666666666598</v>
      </c>
      <c r="I145">
        <v>0.53166666666666595</v>
      </c>
      <c r="J145">
        <v>0.54666666666666597</v>
      </c>
      <c r="K145">
        <v>0.35799999999999998</v>
      </c>
      <c r="L145">
        <v>0.42699999999999999</v>
      </c>
      <c r="M145">
        <v>0.395666666666666</v>
      </c>
      <c r="N145">
        <v>0.51733333333333298</v>
      </c>
      <c r="O145">
        <v>0.50566666666666604</v>
      </c>
      <c r="P145">
        <v>0.48833333333333301</v>
      </c>
      <c r="Q145">
        <v>0.52366666666666595</v>
      </c>
      <c r="R145">
        <v>0.55477799999999999</v>
      </c>
      <c r="S145">
        <v>0.52734000000000003</v>
      </c>
      <c r="T145">
        <v>0.461446666408666</v>
      </c>
      <c r="U145">
        <v>0.46463142950733299</v>
      </c>
      <c r="V145">
        <v>0.56144166666666595</v>
      </c>
      <c r="W145">
        <v>0.53817799999999905</v>
      </c>
      <c r="X145">
        <v>18.358000000000001</v>
      </c>
      <c r="Y145">
        <v>20.678000000000001</v>
      </c>
      <c r="Z145">
        <v>20.196999999999999</v>
      </c>
      <c r="AA145">
        <v>21.378</v>
      </c>
      <c r="AB145">
        <v>20.579000000000001</v>
      </c>
      <c r="AC145">
        <v>19.568999999999999</v>
      </c>
      <c r="AD145">
        <v>20.509</v>
      </c>
      <c r="AE145">
        <v>20.228999999999999</v>
      </c>
      <c r="AF145">
        <v>22.358000000000001</v>
      </c>
      <c r="AG145">
        <v>20.870999999999999</v>
      </c>
      <c r="AH145">
        <v>22.87</v>
      </c>
      <c r="AI145">
        <v>21.187000000000001</v>
      </c>
      <c r="AJ145">
        <v>20.757000000000001</v>
      </c>
      <c r="AK145">
        <v>22.225999999999999</v>
      </c>
      <c r="AL145">
        <v>23.757078</v>
      </c>
      <c r="AM145">
        <v>20.689859999999999</v>
      </c>
      <c r="AN145">
        <v>20.820918877402001</v>
      </c>
      <c r="AO145">
        <v>20.765450041979999</v>
      </c>
      <c r="AP145">
        <v>24.534960000000002</v>
      </c>
      <c r="AQ145">
        <v>24.141957999999999</v>
      </c>
      <c r="AR145">
        <v>547.85699999999997</v>
      </c>
      <c r="AS145">
        <v>590.221</v>
      </c>
      <c r="AT145">
        <v>648.03599999999994</v>
      </c>
      <c r="AU145">
        <v>645.76599999999996</v>
      </c>
      <c r="AV145">
        <v>682.4</v>
      </c>
      <c r="AW145">
        <v>1185.3149999999901</v>
      </c>
      <c r="AX145">
        <v>745.60599999999999</v>
      </c>
      <c r="AY145">
        <v>531.10199999999998</v>
      </c>
      <c r="AZ145">
        <v>485.173</v>
      </c>
      <c r="BA145">
        <v>454.44900000000001</v>
      </c>
      <c r="BB145">
        <v>976.92499999999995</v>
      </c>
      <c r="BC145">
        <v>688.78599999999994</v>
      </c>
      <c r="BD145">
        <v>575.76300000000003</v>
      </c>
      <c r="BE145">
        <v>1087.6500000000001</v>
      </c>
      <c r="BF145">
        <v>842.93494199999998</v>
      </c>
      <c r="BG145">
        <v>754.47266999999897</v>
      </c>
      <c r="BH145">
        <v>671.59618069328405</v>
      </c>
      <c r="BI145">
        <v>670.15208295074001</v>
      </c>
      <c r="BJ145">
        <v>884.05812500000002</v>
      </c>
      <c r="BK145">
        <v>818.698306</v>
      </c>
      <c r="BL145" cm="1">
        <f t="array" ref="BL145">INDEX(R145:W145,0,MATCH($A145,$R$1:$W$1,0))</f>
        <v>0.461446666408666</v>
      </c>
      <c r="BM145" cm="1">
        <f t="array" ref="BM145">INDEX(AL145:AQ145,0,MATCH($A145,$R$1:$W$1,0))</f>
        <v>20.820918877402001</v>
      </c>
      <c r="BN145" cm="1">
        <f t="array" ref="BN145">INDEX(BF145:BK145,0,MATCH($A145,$R$1:$W$1,0))</f>
        <v>671.59618069328405</v>
      </c>
    </row>
    <row r="146" spans="1:66" x14ac:dyDescent="0.35">
      <c r="A146" t="s">
        <v>66</v>
      </c>
      <c r="B146">
        <v>1521000</v>
      </c>
      <c r="C146">
        <v>2023</v>
      </c>
      <c r="D146">
        <v>0.44400000000000001</v>
      </c>
      <c r="E146">
        <v>0.43633333333333302</v>
      </c>
      <c r="F146">
        <v>0.50833333333333297</v>
      </c>
      <c r="G146">
        <v>0.41099999999999998</v>
      </c>
      <c r="H146">
        <v>0.43666666666666598</v>
      </c>
      <c r="I146">
        <v>0.53166666666666595</v>
      </c>
      <c r="J146">
        <v>0.54666666666666597</v>
      </c>
      <c r="K146">
        <v>0.35799999999999998</v>
      </c>
      <c r="L146">
        <v>0.42699999999999999</v>
      </c>
      <c r="M146">
        <v>0.395666666666666</v>
      </c>
      <c r="N146">
        <v>0.51733333333333298</v>
      </c>
      <c r="O146">
        <v>0.50566666666666604</v>
      </c>
      <c r="P146">
        <v>0.48833333333333301</v>
      </c>
      <c r="Q146">
        <v>0.52366666666666595</v>
      </c>
      <c r="R146">
        <v>0.55477799999999999</v>
      </c>
      <c r="S146">
        <v>0.52734000000000003</v>
      </c>
      <c r="T146">
        <v>0.461446666408666</v>
      </c>
      <c r="U146">
        <v>0.46463142950733299</v>
      </c>
      <c r="V146">
        <v>0.56144166666666595</v>
      </c>
      <c r="W146">
        <v>0.53817799999999905</v>
      </c>
      <c r="X146">
        <v>18.358000000000001</v>
      </c>
      <c r="Y146">
        <v>20.678000000000001</v>
      </c>
      <c r="Z146">
        <v>20.196999999999999</v>
      </c>
      <c r="AA146">
        <v>21.378</v>
      </c>
      <c r="AB146">
        <v>20.579000000000001</v>
      </c>
      <c r="AC146">
        <v>19.568999999999999</v>
      </c>
      <c r="AD146">
        <v>20.509</v>
      </c>
      <c r="AE146">
        <v>20.228999999999999</v>
      </c>
      <c r="AF146">
        <v>22.358000000000001</v>
      </c>
      <c r="AG146">
        <v>20.870999999999999</v>
      </c>
      <c r="AH146">
        <v>22.87</v>
      </c>
      <c r="AI146">
        <v>21.187000000000001</v>
      </c>
      <c r="AJ146">
        <v>20.757000000000001</v>
      </c>
      <c r="AK146">
        <v>22.225999999999999</v>
      </c>
      <c r="AL146">
        <v>23.757078</v>
      </c>
      <c r="AM146">
        <v>20.689859999999999</v>
      </c>
      <c r="AN146">
        <v>20.820918877402001</v>
      </c>
      <c r="AO146">
        <v>20.765450041979999</v>
      </c>
      <c r="AP146">
        <v>24.534960000000002</v>
      </c>
      <c r="AQ146">
        <v>24.141957999999999</v>
      </c>
      <c r="AR146">
        <v>547.85699999999997</v>
      </c>
      <c r="AS146">
        <v>590.221</v>
      </c>
      <c r="AT146">
        <v>648.03599999999994</v>
      </c>
      <c r="AU146">
        <v>645.76599999999996</v>
      </c>
      <c r="AV146">
        <v>682.4</v>
      </c>
      <c r="AW146">
        <v>1185.3149999999901</v>
      </c>
      <c r="AX146">
        <v>745.60599999999999</v>
      </c>
      <c r="AY146">
        <v>531.10199999999998</v>
      </c>
      <c r="AZ146">
        <v>485.173</v>
      </c>
      <c r="BA146">
        <v>454.44900000000001</v>
      </c>
      <c r="BB146">
        <v>976.92499999999995</v>
      </c>
      <c r="BC146">
        <v>688.78599999999994</v>
      </c>
      <c r="BD146">
        <v>575.76300000000003</v>
      </c>
      <c r="BE146">
        <v>1087.6500000000001</v>
      </c>
      <c r="BF146">
        <v>842.93494199999998</v>
      </c>
      <c r="BG146">
        <v>754.47266999999897</v>
      </c>
      <c r="BH146">
        <v>671.59618069328405</v>
      </c>
      <c r="BI146">
        <v>670.15208295074001</v>
      </c>
      <c r="BJ146">
        <v>884.05812500000002</v>
      </c>
      <c r="BK146">
        <v>818.698306</v>
      </c>
      <c r="BL146" cm="1">
        <f t="array" ref="BL146">INDEX(R146:W146,0,MATCH($A146,$R$1:$W$1,0))</f>
        <v>0.56144166666666595</v>
      </c>
      <c r="BM146" cm="1">
        <f t="array" ref="BM146">INDEX(AL146:AQ146,0,MATCH($A146,$R$1:$W$1,0))</f>
        <v>24.534960000000002</v>
      </c>
      <c r="BN146" cm="1">
        <f t="array" ref="BN146">INDEX(BF146:BK146,0,MATCH($A146,$R$1:$W$1,0))</f>
        <v>884.05812500000002</v>
      </c>
    </row>
    <row r="147" spans="1:66" x14ac:dyDescent="0.35">
      <c r="A147" t="s">
        <v>67</v>
      </c>
      <c r="B147">
        <v>445000</v>
      </c>
      <c r="C147">
        <v>2023</v>
      </c>
      <c r="D147">
        <v>0.44400000000000001</v>
      </c>
      <c r="E147">
        <v>0.43633333333333302</v>
      </c>
      <c r="F147">
        <v>0.50833333333333297</v>
      </c>
      <c r="G147">
        <v>0.41099999999999998</v>
      </c>
      <c r="H147">
        <v>0.43666666666666598</v>
      </c>
      <c r="I147">
        <v>0.53166666666666595</v>
      </c>
      <c r="J147">
        <v>0.54666666666666597</v>
      </c>
      <c r="K147">
        <v>0.35799999999999998</v>
      </c>
      <c r="L147">
        <v>0.42699999999999999</v>
      </c>
      <c r="M147">
        <v>0.395666666666666</v>
      </c>
      <c r="N147">
        <v>0.51733333333333298</v>
      </c>
      <c r="O147">
        <v>0.50566666666666604</v>
      </c>
      <c r="P147">
        <v>0.48833333333333301</v>
      </c>
      <c r="Q147">
        <v>0.52366666666666595</v>
      </c>
      <c r="R147">
        <v>0.55477799999999999</v>
      </c>
      <c r="S147">
        <v>0.52734000000000003</v>
      </c>
      <c r="T147">
        <v>0.461446666408666</v>
      </c>
      <c r="U147">
        <v>0.46463142950733299</v>
      </c>
      <c r="V147">
        <v>0.56144166666666595</v>
      </c>
      <c r="W147">
        <v>0.53817799999999905</v>
      </c>
      <c r="X147">
        <v>18.358000000000001</v>
      </c>
      <c r="Y147">
        <v>20.678000000000001</v>
      </c>
      <c r="Z147">
        <v>20.196999999999999</v>
      </c>
      <c r="AA147">
        <v>21.378</v>
      </c>
      <c r="AB147">
        <v>20.579000000000001</v>
      </c>
      <c r="AC147">
        <v>19.568999999999999</v>
      </c>
      <c r="AD147">
        <v>20.509</v>
      </c>
      <c r="AE147">
        <v>20.228999999999999</v>
      </c>
      <c r="AF147">
        <v>22.358000000000001</v>
      </c>
      <c r="AG147">
        <v>20.870999999999999</v>
      </c>
      <c r="AH147">
        <v>22.87</v>
      </c>
      <c r="AI147">
        <v>21.187000000000001</v>
      </c>
      <c r="AJ147">
        <v>20.757000000000001</v>
      </c>
      <c r="AK147">
        <v>22.225999999999999</v>
      </c>
      <c r="AL147">
        <v>23.757078</v>
      </c>
      <c r="AM147">
        <v>20.689859999999999</v>
      </c>
      <c r="AN147">
        <v>20.820918877402001</v>
      </c>
      <c r="AO147">
        <v>20.765450041979999</v>
      </c>
      <c r="AP147">
        <v>24.534960000000002</v>
      </c>
      <c r="AQ147">
        <v>24.141957999999999</v>
      </c>
      <c r="AR147">
        <v>547.85699999999997</v>
      </c>
      <c r="AS147">
        <v>590.221</v>
      </c>
      <c r="AT147">
        <v>648.03599999999994</v>
      </c>
      <c r="AU147">
        <v>645.76599999999996</v>
      </c>
      <c r="AV147">
        <v>682.4</v>
      </c>
      <c r="AW147">
        <v>1185.3149999999901</v>
      </c>
      <c r="AX147">
        <v>745.60599999999999</v>
      </c>
      <c r="AY147">
        <v>531.10199999999998</v>
      </c>
      <c r="AZ147">
        <v>485.173</v>
      </c>
      <c r="BA147">
        <v>454.44900000000001</v>
      </c>
      <c r="BB147">
        <v>976.92499999999995</v>
      </c>
      <c r="BC147">
        <v>688.78599999999994</v>
      </c>
      <c r="BD147">
        <v>575.76300000000003</v>
      </c>
      <c r="BE147">
        <v>1087.6500000000001</v>
      </c>
      <c r="BF147">
        <v>842.93494199999998</v>
      </c>
      <c r="BG147">
        <v>754.47266999999897</v>
      </c>
      <c r="BH147">
        <v>671.59618069328405</v>
      </c>
      <c r="BI147">
        <v>670.15208295074001</v>
      </c>
      <c r="BJ147">
        <v>884.05812500000002</v>
      </c>
      <c r="BK147">
        <v>818.698306</v>
      </c>
      <c r="BL147" cm="1">
        <f t="array" ref="BL147">INDEX(R147:W147,0,MATCH($A147,$R$1:$W$1,0))</f>
        <v>0.53817799999999905</v>
      </c>
      <c r="BM147" cm="1">
        <f t="array" ref="BM147">INDEX(AL147:AQ147,0,MATCH($A147,$R$1:$W$1,0))</f>
        <v>24.141957999999999</v>
      </c>
      <c r="BN147" cm="1">
        <f t="array" ref="BN147">INDEX(BF147:BK147,0,MATCH($A147,$R$1:$W$1,0))</f>
        <v>818.698306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</vt:lpstr>
      <vt:lpstr>Rice_Data</vt:lpstr>
      <vt:lpstr>Rice_Correlation</vt:lpstr>
      <vt:lpstr>Corn_Data</vt:lpstr>
      <vt:lpstr>Corn_Correlation</vt:lpstr>
      <vt:lpstr>final_data_8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Warren</dc:creator>
  <cp:lastModifiedBy>Michael Warren</cp:lastModifiedBy>
  <dcterms:created xsi:type="dcterms:W3CDTF">2024-08-14T15:50:22Z</dcterms:created>
  <dcterms:modified xsi:type="dcterms:W3CDTF">2024-08-16T10:40:59Z</dcterms:modified>
</cp:coreProperties>
</file>